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f340ad4a4f83be7/Desktop/"/>
    </mc:Choice>
  </mc:AlternateContent>
  <xr:revisionPtr revIDLastSave="1" documentId="8_{1F92C159-0F71-4850-9E31-2E22C8EF654A}" xr6:coauthVersionLast="47" xr6:coauthVersionMax="47" xr10:uidLastSave="{5B2FE244-5E95-4FBC-8CAC-F3A412CFC20E}"/>
  <bookViews>
    <workbookView xWindow="-98" yWindow="-98" windowWidth="19396" windowHeight="10395" tabRatio="500" activeTab="2" xr2:uid="{00000000-000D-0000-FFFF-FFFF00000000}"/>
  </bookViews>
  <sheets>
    <sheet name="sales data working" sheetId="1" r:id="rId1"/>
    <sheet name="Instructions" sheetId="2" r:id="rId2"/>
    <sheet name="Sales Data" sheetId="3" r:id="rId3"/>
    <sheet name="Tasks &amp; Questions" sheetId="4" r:id="rId4"/>
    <sheet name="Pivot Table Workspace" sheetId="5" r:id="rId5"/>
    <sheet name="Sorting &amp; Filtering SS" sheetId="6" r:id="rId6"/>
  </sheets>
  <definedNames>
    <definedName name="_xlnm._FilterDatabase" localSheetId="2" hidden="1">'Sales Data'!$A$1:$L$958</definedName>
  </definedNames>
  <calcPr calcId="191029" iterateDelta="1E-4"/>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58" i="3" l="1"/>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2" i="3"/>
  <c r="F960"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D8" i="4"/>
</calcChain>
</file>

<file path=xl/sharedStrings.xml><?xml version="1.0" encoding="utf-8"?>
<sst xmlns="http://schemas.openxmlformats.org/spreadsheetml/2006/main" count="15673" uniqueCount="1325">
  <si>
    <t>Tasks &amp; Questions</t>
  </si>
  <si>
    <t>PART 1 — Sorting &amp; Filtering  (work on a copy of 'Sales Data')</t>
  </si>
  <si>
    <t>1.1</t>
  </si>
  <si>
    <t>Sort the data by 'Sales Amount (PKR)' from highest to lowest. Which product appears in the top 5 highest single-sale transactions?</t>
  </si>
  <si>
    <t>Laptop — all top 5 highest single-sale transactions are Laptop.</t>
  </si>
  <si>
    <t>1.2</t>
  </si>
  <si>
    <t>Filter the data to show only Region = Karachi AND Category = Electronics. How many transactions match?</t>
  </si>
  <si>
    <t>51 transactions.</t>
  </si>
  <si>
    <t>1.3</t>
  </si>
  <si>
    <t>Filter to show only 'Online' payments in June 2026. Does the number of rows look high or low compared to January? (You'll confirm why in Part 2.)</t>
  </si>
  <si>
    <t>June is much higher: 55 Online transactions vs 14 in January.</t>
  </si>
  <si>
    <t>1.4</t>
  </si>
  <si>
    <t>Clear all filters. Use a formula to count how many total transactions are in the dataset, and another to sum total revenue.</t>
  </si>
  <si>
    <t>PART 2 — PivotTable Questions  (build these on 'Pivot Table Workspace')</t>
  </si>
  <si>
    <t>2.1</t>
  </si>
  <si>
    <t>Build a PivotTable: Rows = Region, Values = Sum of Sales Amount. Which region generated the HIGHEST total revenue? Which the LOWEST?</t>
  </si>
  <si>
    <t>Highest: Karachi (PKR 3,437,870). Lowest: Islamabad (PKR 1,342,420).</t>
  </si>
  <si>
    <t>2.2</t>
  </si>
  <si>
    <t>Add Category to the same PivotTable (Rows = Region, then Category). Within the top region, which category sells best?</t>
  </si>
  <si>
    <t>Electronics is the top category in Karachi (PKR 2,142,130).</t>
  </si>
  <si>
    <t>2.3</t>
  </si>
  <si>
    <t>Build a PivotTable: Rows = Salesperson, Values = Sum of Sales Amount, sorted descending. Who is the TOP performer? Who is the WEAKEST, and by roughly how much (PKR)?</t>
  </si>
  <si>
    <t>Top performer: Sana Tariq (PKR 1,528,440). Weakest: Nabeel Shah (PKR 765,590). Difference ≈ PKR 762,850 (0.76 million).</t>
  </si>
  <si>
    <t>2.4</t>
  </si>
  <si>
    <t>Build a PivotTable: Rows = Category, Values = Sum of Units Sold. Which category sells the most UNITS overall (not revenue)? Is it the same as the highest-revenue category from 2.2? Why might that be?</t>
  </si>
  <si>
    <t>Groceries sells the most units (357), while Electronics has the highest revenue in Karachi. No — unit volume and revenue differ because products have different prices.</t>
  </si>
  <si>
    <t>2.5</t>
  </si>
  <si>
    <t>Build a PivotTable: Rows = Date (group by Month), Columns = Payment Method, Values = Count of Order ID. Describe how 'Online' payments changed from January to June.</t>
  </si>
  <si>
    <t>Online payments increased from 14 in January to 21 in February, 34 in March, 54 in April, 56 in May, and 55 in June.</t>
  </si>
  <si>
    <t>2.6</t>
  </si>
  <si>
    <t>Build a PivotTable: Rows = Date (group by Month), Filter = Category is 'Clothing' or 'Footwear', Values = Sum of Sales Amount. Is there a spike around late March / early April? What real-world event might explain a spike at that time in Pakistan?</t>
  </si>
  <si>
    <t>Yes. Clothing + Footwear sales rise around late March/early April, peaking in March. A likely real-world explanation is Eid-ul-Fitr shopping in Pakistan, which increases demand for clothes and footwear.</t>
  </si>
  <si>
    <t>2.7</t>
  </si>
  <si>
    <t>Build a PivotTable: Rows = Date (group by weekday, or add a helper column), Values = Sum of Sales Amount, filtered to Category = Groceries. Are weekends busier than weekdays for groceries?</t>
  </si>
  <si>
    <t>Weekends are slightly busier for groceries by sales value: Saturday PKR 124,320 and Friday PKR 121,530 are the strongest days. Sunday is lower, so the weekend effect is mixed rather than uniform.</t>
  </si>
  <si>
    <t>PART 3 — Charts</t>
  </si>
  <si>
    <t>3.1</t>
  </si>
  <si>
    <t>From your Region PivotTable (2.1), insert a Clustered Column Chart comparing total revenue by region. Add a chart title and axis labels.</t>
  </si>
  <si>
    <t>Clustered Column Chart added on Pivot Table Workspace.</t>
  </si>
  <si>
    <t>3.2</t>
  </si>
  <si>
    <t>From your Month × Payment Method PivotTable (2.5), insert a Line Chart showing how 'Online' payments trend across the 6 months.</t>
  </si>
  <si>
    <t>Line Chart added on Pivot Table Workspace.</t>
  </si>
  <si>
    <t>3.3</t>
  </si>
  <si>
    <t>Format both charts so they are readable: legend visible, no default gridlines clutter, clear title describing the insight (not just 'Chart 1').</t>
  </si>
  <si>
    <t>Both charts have clear titles, visible legends where useful, and readable axes.</t>
  </si>
  <si>
    <t>PART 4 — Conditional Formatting  (apply directly on 'Sales Data')</t>
  </si>
  <si>
    <t>4.1</t>
  </si>
  <si>
    <t>Highlight every row where 'Sales Amount (PKR)' is greater than 50,000 with a green fill.</t>
  </si>
  <si>
    <t>Conditional formatting applied: Sales Amount &gt; PKR 50,000 is highlighted.</t>
  </si>
  <si>
    <t>4.2</t>
  </si>
  <si>
    <t>Apply a 3-color scale to the 'Units Sold' column so low quantities are red and high quantities are green.</t>
  </si>
  <si>
    <t>3-color scale applied to Units Sold (low → red, middle → yellow, high → green).</t>
  </si>
  <si>
    <t>4.3</t>
  </si>
  <si>
    <t>Use an icon set on 'Sales Amount (PKR)' to visually flag top, middle, and bottom performing transactions.</t>
  </si>
  <si>
    <t>Icon set applied to Sales Amount (PKR).</t>
  </si>
  <si>
    <t>PART 5 — Hands-On: Tell the Story</t>
  </si>
  <si>
    <t>5.1</t>
  </si>
  <si>
    <t>Karachi generated the highest regional revenue at PKR 3.44 million, while Islamabad generated the lowest at PKR 1.34 million. Sana Tariq was the top salesperson, with PKR 1.53 million in sales, while Nabeel Shah recorded PKR 0.77 million. Clothing and footwear sales were elevated around late March and early April, consistent with seasonal Eid shopping demand. Online payments increased sharply from 14 transactions in January to 55 in June. Grocery sales were strongest on Saturday and Friday, suggesting some weekend concentration, although Sunday was comparatively low.</t>
  </si>
  <si>
    <t>Order ID</t>
  </si>
  <si>
    <t>Date</t>
  </si>
  <si>
    <t>Region</t>
  </si>
  <si>
    <t>Category</t>
  </si>
  <si>
    <t>Product</t>
  </si>
  <si>
    <t>Salesperson</t>
  </si>
  <si>
    <t>Units Sold</t>
  </si>
  <si>
    <t>Unit Price (PKR)</t>
  </si>
  <si>
    <t>Sales Amount (PKR)</t>
  </si>
  <si>
    <t>Customer Type</t>
  </si>
  <si>
    <t>Payment Method</t>
  </si>
  <si>
    <t>Column1</t>
  </si>
  <si>
    <t>ORD-10357</t>
  </si>
  <si>
    <t>2026-03-13</t>
  </si>
  <si>
    <t>Faisalabad</t>
  </si>
  <si>
    <t>Electronics</t>
  </si>
  <si>
    <t>Laptop</t>
  </si>
  <si>
    <t>Ayesha Khan</t>
  </si>
  <si>
    <t>Returning</t>
  </si>
  <si>
    <t>Card</t>
  </si>
  <si>
    <t>ORD-10548</t>
  </si>
  <si>
    <t>2026-04-09</t>
  </si>
  <si>
    <t>Islamabad</t>
  </si>
  <si>
    <t>Farah Siddiqui</t>
  </si>
  <si>
    <t>New</t>
  </si>
  <si>
    <t>Cash</t>
  </si>
  <si>
    <t>ORD-10650</t>
  </si>
  <si>
    <t>2026-04-29</t>
  </si>
  <si>
    <t>Sana Tariq</t>
  </si>
  <si>
    <t>ORD-10790</t>
  </si>
  <si>
    <t>2026-05-27</t>
  </si>
  <si>
    <t>Lahore</t>
  </si>
  <si>
    <t>Hassan Raza</t>
  </si>
  <si>
    <t>ORD-10449</t>
  </si>
  <si>
    <t>2026-03-28</t>
  </si>
  <si>
    <t>Online</t>
  </si>
  <si>
    <t>ORD-10341</t>
  </si>
  <si>
    <t>2026-03-10</t>
  </si>
  <si>
    <t>Karachi</t>
  </si>
  <si>
    <t>Usman Ali</t>
  </si>
  <si>
    <t>ORD-10595</t>
  </si>
  <si>
    <t>2026-04-18</t>
  </si>
  <si>
    <t>Rawalpindi</t>
  </si>
  <si>
    <t>LED TV 43"</t>
  </si>
  <si>
    <t>ORD-10831</t>
  </si>
  <si>
    <t>2026-06-04</t>
  </si>
  <si>
    <t>Smartphone</t>
  </si>
  <si>
    <t>ORD-10939</t>
  </si>
  <si>
    <t>2026-06-26</t>
  </si>
  <si>
    <t>Omar Farooq</t>
  </si>
  <si>
    <t>ORD-10013</t>
  </si>
  <si>
    <t>2026-01-03</t>
  </si>
  <si>
    <t>ORD-10571</t>
  </si>
  <si>
    <t>2026-04-13</t>
  </si>
  <si>
    <t>ORD-10198</t>
  </si>
  <si>
    <t>2026-02-08</t>
  </si>
  <si>
    <t>ORD-10798</t>
  </si>
  <si>
    <t>2026-05-29</t>
  </si>
  <si>
    <t>ORD-10596</t>
  </si>
  <si>
    <t>Nabeel Shah</t>
  </si>
  <si>
    <t>ORD-10425</t>
  </si>
  <si>
    <t>2026-03-24</t>
  </si>
  <si>
    <t>ORD-10455</t>
  </si>
  <si>
    <t>ORD-10121</t>
  </si>
  <si>
    <t>2026-01-23</t>
  </si>
  <si>
    <t>Mehwish Iqbal</t>
  </si>
  <si>
    <t>ORD-10221</t>
  </si>
  <si>
    <t>2026-02-13</t>
  </si>
  <si>
    <t>ORD-10510</t>
  </si>
  <si>
    <t>2026-04-04</t>
  </si>
  <si>
    <t>ORD-10649</t>
  </si>
  <si>
    <t>ORD-10781</t>
  </si>
  <si>
    <t>2026-05-25</t>
  </si>
  <si>
    <t>Zara Sheikh</t>
  </si>
  <si>
    <t>ORD-10491</t>
  </si>
  <si>
    <t>2026-04-01</t>
  </si>
  <si>
    <t>ORD-10877</t>
  </si>
  <si>
    <t>2026-06-13</t>
  </si>
  <si>
    <t>ORD-10339</t>
  </si>
  <si>
    <t>2026-03-09</t>
  </si>
  <si>
    <t>ORD-10115</t>
  </si>
  <si>
    <t>2026-01-22</t>
  </si>
  <si>
    <t>Bilal Ahmed</t>
  </si>
  <si>
    <t>ORD-10503</t>
  </si>
  <si>
    <t>2026-04-03</t>
  </si>
  <si>
    <t>ORD-10597</t>
  </si>
  <si>
    <t>ORD-10490</t>
  </si>
  <si>
    <t>ORD-10322</t>
  </si>
  <si>
    <t>2026-03-07</t>
  </si>
  <si>
    <t>ORD-10698</t>
  </si>
  <si>
    <t>2026-05-10</t>
  </si>
  <si>
    <t>ORD-10089</t>
  </si>
  <si>
    <t>2026-01-17</t>
  </si>
  <si>
    <t>ORD-10025</t>
  </si>
  <si>
    <t>2026-01-05</t>
  </si>
  <si>
    <t>ORD-10032</t>
  </si>
  <si>
    <t>2026-01-07</t>
  </si>
  <si>
    <t>ORD-10886</t>
  </si>
  <si>
    <t>2026-06-15</t>
  </si>
  <si>
    <t>ORD-10628</t>
  </si>
  <si>
    <t>2026-04-24</t>
  </si>
  <si>
    <t>ORD-10059</t>
  </si>
  <si>
    <t>2026-01-12</t>
  </si>
  <si>
    <t>ORD-10466</t>
  </si>
  <si>
    <t>2026-03-29</t>
  </si>
  <si>
    <t>ORD-10188</t>
  </si>
  <si>
    <t>2026-02-06</t>
  </si>
  <si>
    <t>ORD-10006</t>
  </si>
  <si>
    <t>2026-01-02</t>
  </si>
  <si>
    <t>ORD-10091</t>
  </si>
  <si>
    <t>ORD-10049</t>
  </si>
  <si>
    <t>2026-01-10</t>
  </si>
  <si>
    <t>ORD-10499</t>
  </si>
  <si>
    <t>2026-04-02</t>
  </si>
  <si>
    <t>ORD-10241</t>
  </si>
  <si>
    <t>2026-02-17</t>
  </si>
  <si>
    <t>ORD-10910</t>
  </si>
  <si>
    <t>2026-06-20</t>
  </si>
  <si>
    <t>ORD-10785</t>
  </si>
  <si>
    <t>2026-05-26</t>
  </si>
  <si>
    <t>ORD-10675</t>
  </si>
  <si>
    <t>2026-05-04</t>
  </si>
  <si>
    <t>ORD-10720</t>
  </si>
  <si>
    <t>2026-05-14</t>
  </si>
  <si>
    <t>ORD-10947</t>
  </si>
  <si>
    <t>2026-06-28</t>
  </si>
  <si>
    <t>ORD-10520</t>
  </si>
  <si>
    <t>ORD-10001</t>
  </si>
  <si>
    <t>2026-01-01</t>
  </si>
  <si>
    <t>ORD-10562</t>
  </si>
  <si>
    <t>2026-04-11</t>
  </si>
  <si>
    <t>ORD-10747</t>
  </si>
  <si>
    <t>2026-05-19</t>
  </si>
  <si>
    <t>ORD-10256</t>
  </si>
  <si>
    <t>2026-02-21</t>
  </si>
  <si>
    <t>ORD-10613</t>
  </si>
  <si>
    <t>2026-04-22</t>
  </si>
  <si>
    <t>ORD-10718</t>
  </si>
  <si>
    <t>Home Appliances</t>
  </si>
  <si>
    <t>Microwave Oven</t>
  </si>
  <si>
    <t>ORD-10786</t>
  </si>
  <si>
    <t>ORD-10756</t>
  </si>
  <si>
    <t>2026-05-21</t>
  </si>
  <si>
    <t>ORD-10054</t>
  </si>
  <si>
    <t>2026-01-11</t>
  </si>
  <si>
    <t>ORD-10234</t>
  </si>
  <si>
    <t>2026-02-16</t>
  </si>
  <si>
    <t>ORD-10179</t>
  </si>
  <si>
    <t>2026-02-04</t>
  </si>
  <si>
    <t>ORD-10277</t>
  </si>
  <si>
    <t>2026-02-25</t>
  </si>
  <si>
    <t>ORD-10896</t>
  </si>
  <si>
    <t>2026-06-18</t>
  </si>
  <si>
    <t>Air Fryer</t>
  </si>
  <si>
    <t>ORD-10852</t>
  </si>
  <si>
    <t>2026-06-09</t>
  </si>
  <si>
    <t>Vacuum Cleaner</t>
  </si>
  <si>
    <t>ORD-10598</t>
  </si>
  <si>
    <t>2026-04-19</t>
  </si>
  <si>
    <t>ORD-10580</t>
  </si>
  <si>
    <t>2026-04-15</t>
  </si>
  <si>
    <t>ORD-10948</t>
  </si>
  <si>
    <t>ORD-10224</t>
  </si>
  <si>
    <t>2026-02-14</t>
  </si>
  <si>
    <t>ORD-10380</t>
  </si>
  <si>
    <t>2026-03-18</t>
  </si>
  <si>
    <t>ORD-10737</t>
  </si>
  <si>
    <t>2026-05-17</t>
  </si>
  <si>
    <t>ORD-10777</t>
  </si>
  <si>
    <t>2026-05-24</t>
  </si>
  <si>
    <t>ORD-10271</t>
  </si>
  <si>
    <t>2026-02-24</t>
  </si>
  <si>
    <t>ORD-10146</t>
  </si>
  <si>
    <t>2026-01-28</t>
  </si>
  <si>
    <t>ORD-10551</t>
  </si>
  <si>
    <t>ORD-10468</t>
  </si>
  <si>
    <t>2026-03-30</t>
  </si>
  <si>
    <t>ORD-10876</t>
  </si>
  <si>
    <t>ORD-10903</t>
  </si>
  <si>
    <t>2026-06-19</t>
  </si>
  <si>
    <t>ORD-10017</t>
  </si>
  <si>
    <t>ORD-10588</t>
  </si>
  <si>
    <t>2026-04-17</t>
  </si>
  <si>
    <t>ORD-10477</t>
  </si>
  <si>
    <t>2026-03-31</t>
  </si>
  <si>
    <t>ORD-10581</t>
  </si>
  <si>
    <t>2026-04-16</t>
  </si>
  <si>
    <t>ORD-10088</t>
  </si>
  <si>
    <t>Water Dispenser</t>
  </si>
  <si>
    <t>ORD-10217</t>
  </si>
  <si>
    <t>ORD-10036</t>
  </si>
  <si>
    <t>2026-01-08</t>
  </si>
  <si>
    <t>ORD-10691</t>
  </si>
  <si>
    <t>2026-05-08</t>
  </si>
  <si>
    <t>ORD-10251</t>
  </si>
  <si>
    <t>2026-02-20</t>
  </si>
  <si>
    <t>ORD-10190</t>
  </si>
  <si>
    <t>ORD-10890</t>
  </si>
  <si>
    <t>2026-06-16</t>
  </si>
  <si>
    <t>ORD-10043</t>
  </si>
  <si>
    <t>2026-01-09</t>
  </si>
  <si>
    <t>ORD-10379</t>
  </si>
  <si>
    <t>ORD-10568</t>
  </si>
  <si>
    <t>2026-04-12</t>
  </si>
  <si>
    <t>ORD-10014</t>
  </si>
  <si>
    <t>ORD-10267</t>
  </si>
  <si>
    <t>2026-02-23</t>
  </si>
  <si>
    <t>ORD-10945</t>
  </si>
  <si>
    <t>ORD-10888</t>
  </si>
  <si>
    <t>ORD-10189</t>
  </si>
  <si>
    <t>ORD-10846</t>
  </si>
  <si>
    <t>2026-06-07</t>
  </si>
  <si>
    <t>ORD-10376</t>
  </si>
  <si>
    <t>2026-03-17</t>
  </si>
  <si>
    <t>ORD-10374</t>
  </si>
  <si>
    <t>ORD-10343</t>
  </si>
  <si>
    <t>ORD-10911</t>
  </si>
  <si>
    <t>ORD-10285</t>
  </si>
  <si>
    <t>2026-02-27</t>
  </si>
  <si>
    <t>ORD-10071</t>
  </si>
  <si>
    <t>2026-01-14</t>
  </si>
  <si>
    <t>ORD-10355</t>
  </si>
  <si>
    <t>ORD-10096</t>
  </si>
  <si>
    <t>2026-01-18</t>
  </si>
  <si>
    <t>ORD-10382</t>
  </si>
  <si>
    <t>2026-03-19</t>
  </si>
  <si>
    <t>ORD-10338</t>
  </si>
  <si>
    <t>ORD-10016</t>
  </si>
  <si>
    <t>ORD-10493</t>
  </si>
  <si>
    <t>ORD-10687</t>
  </si>
  <si>
    <t>ORD-10865</t>
  </si>
  <si>
    <t>2026-06-11</t>
  </si>
  <si>
    <t>ORD-10893</t>
  </si>
  <si>
    <t>2026-06-17</t>
  </si>
  <si>
    <t>ORD-10465</t>
  </si>
  <si>
    <t>ORD-10149</t>
  </si>
  <si>
    <t>ORD-10860</t>
  </si>
  <si>
    <t>2026-06-10</t>
  </si>
  <si>
    <t>ORD-10907</t>
  </si>
  <si>
    <t>ORD-10557</t>
  </si>
  <si>
    <t>2026-04-10</t>
  </si>
  <si>
    <t>ORD-10250</t>
  </si>
  <si>
    <t>Blender</t>
  </si>
  <si>
    <t>ORD-10048</t>
  </si>
  <si>
    <t>ORD-10065</t>
  </si>
  <si>
    <t>2026-01-13</t>
  </si>
  <si>
    <t>ORD-10331</t>
  </si>
  <si>
    <t>2026-03-08</t>
  </si>
  <si>
    <t>ORD-10020</t>
  </si>
  <si>
    <t>2026-01-04</t>
  </si>
  <si>
    <t>ORD-10231</t>
  </si>
  <si>
    <t>2026-02-15</t>
  </si>
  <si>
    <t>ORD-10248</t>
  </si>
  <si>
    <t>2026-02-19</t>
  </si>
  <si>
    <t>ORD-10603</t>
  </si>
  <si>
    <t>ORD-10304</t>
  </si>
  <si>
    <t>2026-03-02</t>
  </si>
  <si>
    <t>ORD-10067</t>
  </si>
  <si>
    <t>ORD-10072</t>
  </si>
  <si>
    <t>ORD-10922</t>
  </si>
  <si>
    <t>2026-06-22</t>
  </si>
  <si>
    <t>ORD-10644</t>
  </si>
  <si>
    <t>2026-04-28</t>
  </si>
  <si>
    <t>ORD-10738</t>
  </si>
  <si>
    <t>ORD-10033</t>
  </si>
  <si>
    <t>ORD-10523</t>
  </si>
  <si>
    <t>2026-04-05</t>
  </si>
  <si>
    <t>ORD-10728</t>
  </si>
  <si>
    <t>2026-05-16</t>
  </si>
  <si>
    <t>ORD-10701</t>
  </si>
  <si>
    <t>ORD-10639</t>
  </si>
  <si>
    <t>2026-04-27</t>
  </si>
  <si>
    <t>ORD-10240</t>
  </si>
  <si>
    <t>ORD-10213</t>
  </si>
  <si>
    <t>2026-02-12</t>
  </si>
  <si>
    <t>ORD-10114</t>
  </si>
  <si>
    <t>Footwear</t>
  </si>
  <si>
    <t>Formal Shoes</t>
  </si>
  <si>
    <t>ORD-10414</t>
  </si>
  <si>
    <t>2026-03-23</t>
  </si>
  <si>
    <t>ORD-10177</t>
  </si>
  <si>
    <t>ORD-10574</t>
  </si>
  <si>
    <t>ORD-10458</t>
  </si>
  <si>
    <t>ORD-10587</t>
  </si>
  <si>
    <t>ORD-10136</t>
  </si>
  <si>
    <t>2026-01-26</t>
  </si>
  <si>
    <t>ORD-10345</t>
  </si>
  <si>
    <t>2026-03-11</t>
  </si>
  <si>
    <t>ORD-10311</t>
  </si>
  <si>
    <t>2026-03-04</t>
  </si>
  <si>
    <t>ORD-10745</t>
  </si>
  <si>
    <t>ORD-10712</t>
  </si>
  <si>
    <t>2026-05-12</t>
  </si>
  <si>
    <t>ORD-10801</t>
  </si>
  <si>
    <t>2026-05-30</t>
  </si>
  <si>
    <t>ORD-10283</t>
  </si>
  <si>
    <t>2026-02-26</t>
  </si>
  <si>
    <t>ORD-10702</t>
  </si>
  <si>
    <t>ORD-10253</t>
  </si>
  <si>
    <t>ORD-10803</t>
  </si>
  <si>
    <t>ORD-10131</t>
  </si>
  <si>
    <t>2026-01-25</t>
  </si>
  <si>
    <t>ORD-10459</t>
  </si>
  <si>
    <t>ORD-10005</t>
  </si>
  <si>
    <t>ORD-10672</t>
  </si>
  <si>
    <t>2026-05-03</t>
  </si>
  <si>
    <t>ORD-10726</t>
  </si>
  <si>
    <t>2026-05-15</t>
  </si>
  <si>
    <t>ORD-10352</t>
  </si>
  <si>
    <t>2026-03-12</t>
  </si>
  <si>
    <t>ORD-10200</t>
  </si>
  <si>
    <t>2026-02-09</t>
  </si>
  <si>
    <t>ORD-10563</t>
  </si>
  <si>
    <t>ORD-10946</t>
  </si>
  <si>
    <t>ORD-10222</t>
  </si>
  <si>
    <t>ORD-10542</t>
  </si>
  <si>
    <t>2026-04-08</t>
  </si>
  <si>
    <t>ORD-10445</t>
  </si>
  <si>
    <t>2026-03-27</t>
  </si>
  <si>
    <t>ORD-10347</t>
  </si>
  <si>
    <t>ORD-10218</t>
  </si>
  <si>
    <t>ORD-10521</t>
  </si>
  <si>
    <t>ORD-10405</t>
  </si>
  <si>
    <t>2026-03-22</t>
  </si>
  <si>
    <t>ORD-10117</t>
  </si>
  <si>
    <t>ORD-10175</t>
  </si>
  <si>
    <t>ORD-10370</t>
  </si>
  <si>
    <t>2026-03-16</t>
  </si>
  <si>
    <t>ORD-10683</t>
  </si>
  <si>
    <t>2026-05-07</t>
  </si>
  <si>
    <t>ORD-10821</t>
  </si>
  <si>
    <t>2026-06-02</t>
  </si>
  <si>
    <t>ORD-10847</t>
  </si>
  <si>
    <t>2026-06-08</t>
  </si>
  <si>
    <t>ORD-10306</t>
  </si>
  <si>
    <t>2026-03-03</t>
  </si>
  <si>
    <t>ORD-10236</t>
  </si>
  <si>
    <t>ORD-10018</t>
  </si>
  <si>
    <t>ORD-10601</t>
  </si>
  <si>
    <t>ORD-10507</t>
  </si>
  <si>
    <t>Clothing</t>
  </si>
  <si>
    <t>Women's Lawn Suit</t>
  </si>
  <si>
    <t>ORD-10950</t>
  </si>
  <si>
    <t>2026-06-29</t>
  </si>
  <si>
    <t>Sports Shoes</t>
  </si>
  <si>
    <t>ORD-10620</t>
  </si>
  <si>
    <t>2026-04-23</t>
  </si>
  <si>
    <t>ORD-10148</t>
  </si>
  <si>
    <t>ORD-10681</t>
  </si>
  <si>
    <t>2026-05-06</t>
  </si>
  <si>
    <t>ORD-10377</t>
  </si>
  <si>
    <t>ORD-10894</t>
  </si>
  <si>
    <t>ORD-10550</t>
  </si>
  <si>
    <t>ORD-10822</t>
  </si>
  <si>
    <t>2026-06-03</t>
  </si>
  <si>
    <t>ORD-10390</t>
  </si>
  <si>
    <t>2026-03-20</t>
  </si>
  <si>
    <t>ORD-10924</t>
  </si>
  <si>
    <t>2026-06-23</t>
  </si>
  <si>
    <t>ORD-10403</t>
  </si>
  <si>
    <t>ORD-10602</t>
  </si>
  <si>
    <t>ORD-10844</t>
  </si>
  <si>
    <t>ORD-10671</t>
  </si>
  <si>
    <t>ORD-10930</t>
  </si>
  <si>
    <t>2026-06-24</t>
  </si>
  <si>
    <t>ORD-10460</t>
  </si>
  <si>
    <t>ORD-10553</t>
  </si>
  <si>
    <t>ORD-10621</t>
  </si>
  <si>
    <t>ORD-10223</t>
  </si>
  <si>
    <t>ORD-10832</t>
  </si>
  <si>
    <t>2026-06-05</t>
  </si>
  <si>
    <t>ORD-10869</t>
  </si>
  <si>
    <t>2026-06-12</t>
  </si>
  <si>
    <t>ORD-10516</t>
  </si>
  <si>
    <t>ORD-10337</t>
  </si>
  <si>
    <t>ORD-10589</t>
  </si>
  <si>
    <t>ORD-10826</t>
  </si>
  <si>
    <t>ORD-10841</t>
  </si>
  <si>
    <t>2026-06-06</t>
  </si>
  <si>
    <t>ORD-10699</t>
  </si>
  <si>
    <t>ORD-10631</t>
  </si>
  <si>
    <t>2026-04-25</t>
  </si>
  <si>
    <t>ORD-10845</t>
  </si>
  <si>
    <t>Iron</t>
  </si>
  <si>
    <t>ORD-10757</t>
  </si>
  <si>
    <t>Bluetooth Speaker</t>
  </si>
  <si>
    <t>ORD-10107</t>
  </si>
  <si>
    <t>2026-01-20</t>
  </si>
  <si>
    <t>ORD-10026</t>
  </si>
  <si>
    <t>ORD-10584</t>
  </si>
  <si>
    <t>Men's Kurta</t>
  </si>
  <si>
    <t>ORD-10307</t>
  </si>
  <si>
    <t>ORD-10400</t>
  </si>
  <si>
    <t>ORD-10249</t>
  </si>
  <si>
    <t>ORD-10204</t>
  </si>
  <si>
    <t>2026-02-10</t>
  </si>
  <si>
    <t>ORD-10655</t>
  </si>
  <si>
    <t>2026-04-30</t>
  </si>
  <si>
    <t>ORD-10084</t>
  </si>
  <si>
    <t>ORD-10480</t>
  </si>
  <si>
    <t>ORD-10185</t>
  </si>
  <si>
    <t>ORD-10819</t>
  </si>
  <si>
    <t>ORD-10524</t>
  </si>
  <si>
    <t>ORD-10469</t>
  </si>
  <si>
    <t>Formal Shirt</t>
  </si>
  <si>
    <t>ORD-10090</t>
  </si>
  <si>
    <t>Jeans</t>
  </si>
  <si>
    <t>ORD-10144</t>
  </si>
  <si>
    <t>ORD-10793</t>
  </si>
  <si>
    <t>2026-05-28</t>
  </si>
  <si>
    <t>ORD-10885</t>
  </si>
  <si>
    <t>ORD-10744</t>
  </si>
  <si>
    <t>ORD-10511</t>
  </si>
  <si>
    <t>ORD-10560</t>
  </si>
  <si>
    <t>Groceries</t>
  </si>
  <si>
    <t>Rice 10kg Bag</t>
  </si>
  <si>
    <t>ORD-10497</t>
  </si>
  <si>
    <t>Kids Wear Set</t>
  </si>
  <si>
    <t>ORD-10203</t>
  </si>
  <si>
    <t>ORD-10057</t>
  </si>
  <si>
    <t>ORD-10358</t>
  </si>
  <si>
    <t>ORD-10093</t>
  </si>
  <si>
    <t>ORD-10606</t>
  </si>
  <si>
    <t>2026-04-20</t>
  </si>
  <si>
    <t>ORD-10546</t>
  </si>
  <si>
    <t>ORD-10856</t>
  </si>
  <si>
    <t>ORD-10309</t>
  </si>
  <si>
    <t>ORD-10673</t>
  </si>
  <si>
    <t>ORD-10717</t>
  </si>
  <si>
    <t>ORD-10724</t>
  </si>
  <si>
    <t>ORD-10932</t>
  </si>
  <si>
    <t>2026-06-25</t>
  </si>
  <si>
    <t>ORD-10244</t>
  </si>
  <si>
    <t>2026-02-18</t>
  </si>
  <si>
    <t>ORD-10239</t>
  </si>
  <si>
    <t>ORD-10925</t>
  </si>
  <si>
    <t>ORD-10368</t>
  </si>
  <si>
    <t>ORD-10615</t>
  </si>
  <si>
    <t>ORD-10780</t>
  </si>
  <si>
    <t>Cooking Oil 5L</t>
  </si>
  <si>
    <t>ORD-10485</t>
  </si>
  <si>
    <t>ORD-10028</t>
  </si>
  <si>
    <t>Flour 10kg Bag</t>
  </si>
  <si>
    <t>ORD-10636</t>
  </si>
  <si>
    <t>2026-04-26</t>
  </si>
  <si>
    <t>ORD-10686</t>
  </si>
  <si>
    <t>ORD-10060</t>
  </si>
  <si>
    <t>ORD-10246</t>
  </si>
  <si>
    <t>ORD-10384</t>
  </si>
  <si>
    <t>ORD-10668</t>
  </si>
  <si>
    <t>ORD-10612</t>
  </si>
  <si>
    <t>2026-04-21</t>
  </si>
  <si>
    <t>ORD-10624</t>
  </si>
  <si>
    <t>ORD-10418</t>
  </si>
  <si>
    <t>ORD-10317</t>
  </si>
  <si>
    <t>2026-03-06</t>
  </si>
  <si>
    <t>ORD-10509</t>
  </si>
  <si>
    <t>Sandals</t>
  </si>
  <si>
    <t>ORD-10210</t>
  </si>
  <si>
    <t>2026-02-11</t>
  </si>
  <si>
    <t>ORD-10245</t>
  </si>
  <si>
    <t>ORD-10935</t>
  </si>
  <si>
    <t>ORD-10736</t>
  </si>
  <si>
    <t>ORD-10183</t>
  </si>
  <si>
    <t>2026-02-05</t>
  </si>
  <si>
    <t>ORD-10567</t>
  </si>
  <si>
    <t>ORD-10471</t>
  </si>
  <si>
    <t>ORD-10809</t>
  </si>
  <si>
    <t>2026-05-31</t>
  </si>
  <si>
    <t>Kids Shoes</t>
  </si>
  <si>
    <t>ORD-10640</t>
  </si>
  <si>
    <t>ORD-10676</t>
  </si>
  <si>
    <t>2026-05-05</t>
  </si>
  <si>
    <t>ORD-10566</t>
  </si>
  <si>
    <t>ORD-10927</t>
  </si>
  <si>
    <t>ORD-10868</t>
  </si>
  <si>
    <t>ORD-10282</t>
  </si>
  <si>
    <t>ORD-10472</t>
  </si>
  <si>
    <t>ORD-10913</t>
  </si>
  <si>
    <t>2026-06-21</t>
  </si>
  <si>
    <t>ORD-10467</t>
  </si>
  <si>
    <t>ORD-10168</t>
  </si>
  <si>
    <t>2026-02-02</t>
  </si>
  <si>
    <t>ORD-10505</t>
  </si>
  <si>
    <t>ORD-10623</t>
  </si>
  <si>
    <t>ORD-10259</t>
  </si>
  <si>
    <t>2026-02-22</t>
  </si>
  <si>
    <t>ORD-10619</t>
  </si>
  <si>
    <t>ORD-10315</t>
  </si>
  <si>
    <t>ORD-10038</t>
  </si>
  <si>
    <t>ORD-10791</t>
  </si>
  <si>
    <t>ORD-10150</t>
  </si>
  <si>
    <t>2026-01-29</t>
  </si>
  <si>
    <t>ORD-10290</t>
  </si>
  <si>
    <t>2026-02-28</t>
  </si>
  <si>
    <t>ORD-10173</t>
  </si>
  <si>
    <t>2026-02-03</t>
  </si>
  <si>
    <t>ORD-10098</t>
  </si>
  <si>
    <t>2026-01-19</t>
  </si>
  <si>
    <t>Dates Pack</t>
  </si>
  <si>
    <t>ORD-10321</t>
  </si>
  <si>
    <t>ORD-10336</t>
  </si>
  <si>
    <t>ORD-10799</t>
  </si>
  <si>
    <t>ORD-10767</t>
  </si>
  <si>
    <t>2026-05-23</t>
  </si>
  <si>
    <t>ORD-10867</t>
  </si>
  <si>
    <t>ORD-10042</t>
  </si>
  <si>
    <t>ORD-10346</t>
  </si>
  <si>
    <t>ORD-10834</t>
  </si>
  <si>
    <t>ORD-10855</t>
  </si>
  <si>
    <t>ORD-10140</t>
  </si>
  <si>
    <t>2026-01-27</t>
  </si>
  <si>
    <t>ORD-10692</t>
  </si>
  <si>
    <t>2026-05-09</t>
  </si>
  <si>
    <t>ORD-10261</t>
  </si>
  <si>
    <t>ORD-10622</t>
  </si>
  <si>
    <t>ORD-10007</t>
  </si>
  <si>
    <t>ORD-10875</t>
  </si>
  <si>
    <t>ORD-10381</t>
  </si>
  <si>
    <t>ORD-10154</t>
  </si>
  <si>
    <t>2026-01-30</t>
  </si>
  <si>
    <t>ORD-10340</t>
  </si>
  <si>
    <t>ORD-10614</t>
  </si>
  <si>
    <t>ORD-10252</t>
  </si>
  <si>
    <t>ORD-10431</t>
  </si>
  <si>
    <t>2026-03-25</t>
  </si>
  <si>
    <t>ORD-10395</t>
  </si>
  <si>
    <t>2026-03-21</t>
  </si>
  <si>
    <t>ORD-10022</t>
  </si>
  <si>
    <t>ORD-10163</t>
  </si>
  <si>
    <t>2026-02-01</t>
  </si>
  <si>
    <t>ORD-10035</t>
  </si>
  <si>
    <t>ORD-10538</t>
  </si>
  <si>
    <t>2026-04-07</t>
  </si>
  <si>
    <t>ORD-10128</t>
  </si>
  <si>
    <t>2026-01-24</t>
  </si>
  <si>
    <t>ORD-10112</t>
  </si>
  <si>
    <t>2026-01-21</t>
  </si>
  <si>
    <t>ORD-10954</t>
  </si>
  <si>
    <t>2026-06-30</t>
  </si>
  <si>
    <t>ORD-10764</t>
  </si>
  <si>
    <t>ORD-10120</t>
  </si>
  <si>
    <t>ORD-10068</t>
  </si>
  <si>
    <t>ORD-10859</t>
  </si>
  <si>
    <t>ORD-10637</t>
  </si>
  <si>
    <t>ORD-10656</t>
  </si>
  <si>
    <t>ORD-10417</t>
  </si>
  <si>
    <t>ORD-10326</t>
  </si>
  <si>
    <t>ORD-10664</t>
  </si>
  <si>
    <t>2026-05-02</t>
  </si>
  <si>
    <t>ORD-10952</t>
  </si>
  <si>
    <t>ORD-10585</t>
  </si>
  <si>
    <t>ORD-10201</t>
  </si>
  <si>
    <t>ORD-10827</t>
  </si>
  <si>
    <t>ORD-10419</t>
  </si>
  <si>
    <t>ORD-10514</t>
  </si>
  <si>
    <t>ORD-10387</t>
  </si>
  <si>
    <t>ORD-10848</t>
  </si>
  <si>
    <t>ORD-10077</t>
  </si>
  <si>
    <t>2026-01-15</t>
  </si>
  <si>
    <t>ORD-10525</t>
  </si>
  <si>
    <t>ORD-10643</t>
  </si>
  <si>
    <t>ORD-10066</t>
  </si>
  <si>
    <t>ORD-10508</t>
  </si>
  <si>
    <t>ORD-10053</t>
  </si>
  <si>
    <t>ORD-10111</t>
  </si>
  <si>
    <t>ORD-10129</t>
  </si>
  <si>
    <t>ORD-10323</t>
  </si>
  <si>
    <t>ORD-10081</t>
  </si>
  <si>
    <t>2026-01-16</t>
  </si>
  <si>
    <t>ORD-10488</t>
  </si>
  <si>
    <t>ORD-10211</t>
  </si>
  <si>
    <t>ORD-10045</t>
  </si>
  <si>
    <t>ORD-10438</t>
  </si>
  <si>
    <t>2026-03-26</t>
  </si>
  <si>
    <t>ORD-10611</t>
  </si>
  <si>
    <t>ORD-10481</t>
  </si>
  <si>
    <t>ORD-10415</t>
  </si>
  <si>
    <t>ORD-10796</t>
  </si>
  <si>
    <t>ORD-10478</t>
  </si>
  <si>
    <t>ORD-10212</t>
  </si>
  <si>
    <t>ORD-10837</t>
  </si>
  <si>
    <t>ORD-10770</t>
  </si>
  <si>
    <t>ORD-10549</t>
  </si>
  <si>
    <t>ORD-10328</t>
  </si>
  <si>
    <t>ORD-10350</t>
  </si>
  <si>
    <t>ORD-10228</t>
  </si>
  <si>
    <t>ORD-10706</t>
  </si>
  <si>
    <t>2026-05-11</t>
  </si>
  <si>
    <t>ORD-10815</t>
  </si>
  <si>
    <t>2026-06-01</t>
  </si>
  <si>
    <t>ORD-10389</t>
  </si>
  <si>
    <t>ORD-10356</t>
  </si>
  <si>
    <t>ORD-10496</t>
  </si>
  <si>
    <t>ORD-10463</t>
  </si>
  <si>
    <t>ORD-10003</t>
  </si>
  <si>
    <t>ORD-10019</t>
  </si>
  <si>
    <t>ORD-10299</t>
  </si>
  <si>
    <t>2026-03-01</t>
  </si>
  <si>
    <t>ORD-10750</t>
  </si>
  <si>
    <t>2026-05-20</t>
  </si>
  <si>
    <t>ORD-10062</t>
  </si>
  <si>
    <t>ORD-10630</t>
  </si>
  <si>
    <t>ORD-10108</t>
  </si>
  <si>
    <t>ORD-10704</t>
  </si>
  <si>
    <t>ORD-10807</t>
  </si>
  <si>
    <t>ORD-10956</t>
  </si>
  <si>
    <t>ORD-10648</t>
  </si>
  <si>
    <t>ORD-10365</t>
  </si>
  <si>
    <t>2026-03-15</t>
  </si>
  <si>
    <t>ORD-10411</t>
  </si>
  <si>
    <t>ORD-10742</t>
  </si>
  <si>
    <t>2026-05-18</t>
  </si>
  <si>
    <t>ORD-10843</t>
  </si>
  <si>
    <t>ORD-10931</t>
  </si>
  <si>
    <t>ORD-10873</t>
  </si>
  <si>
    <t>ORD-10398</t>
  </si>
  <si>
    <t>ORD-10319</t>
  </si>
  <si>
    <t>ORD-10118</t>
  </si>
  <si>
    <t>ORD-10817</t>
  </si>
  <si>
    <t>ORD-10768</t>
  </si>
  <si>
    <t>ORD-10723</t>
  </si>
  <si>
    <t>ORD-10209</t>
  </si>
  <si>
    <t>ORD-10536</t>
  </si>
  <si>
    <t>ORD-10182</t>
  </si>
  <si>
    <t>ORD-10722</t>
  </si>
  <si>
    <t>ORD-10929</t>
  </si>
  <si>
    <t>ORD-10900</t>
  </si>
  <si>
    <t>ORD-10578</t>
  </si>
  <si>
    <t>ORD-10559</t>
  </si>
  <si>
    <t>ORD-10517</t>
  </si>
  <si>
    <t>ORD-10105</t>
  </si>
  <si>
    <t>ORD-10519</t>
  </si>
  <si>
    <t>Tea Pack</t>
  </si>
  <si>
    <t>ORD-10760</t>
  </si>
  <si>
    <t>2026-05-22</t>
  </si>
  <si>
    <t>ORD-10575</t>
  </si>
  <si>
    <t>2026-04-14</t>
  </si>
  <si>
    <t>ORD-10949</t>
  </si>
  <si>
    <t>ORD-10864</t>
  </si>
  <si>
    <t>ORD-10029</t>
  </si>
  <si>
    <t>2026-01-06</t>
  </si>
  <si>
    <t>ORD-10725</t>
  </si>
  <si>
    <t>ORD-10917</t>
  </si>
  <si>
    <t>ORD-10371</t>
  </si>
  <si>
    <t>ORD-10487</t>
  </si>
  <si>
    <t>ORD-10938</t>
  </si>
  <si>
    <t>ORD-10300</t>
  </si>
  <si>
    <t>ORD-10230</t>
  </si>
  <si>
    <t>ORD-10385</t>
  </si>
  <si>
    <t>ORD-10094</t>
  </si>
  <si>
    <t>ORD-10227</t>
  </si>
  <si>
    <t>ORD-10447</t>
  </si>
  <si>
    <t>ORD-10238</t>
  </si>
  <si>
    <t>ORD-10763</t>
  </si>
  <si>
    <t>ORD-10037</t>
  </si>
  <si>
    <t>ORD-10192</t>
  </si>
  <si>
    <t>2026-02-07</t>
  </si>
  <si>
    <t>ORD-10402</t>
  </si>
  <si>
    <t>ORD-10898</t>
  </si>
  <si>
    <t>ORD-10689</t>
  </si>
  <si>
    <t>ORD-10167</t>
  </si>
  <si>
    <t>ORD-10281</t>
  </si>
  <si>
    <t>ORD-10082</t>
  </si>
  <si>
    <t>ORD-10926</t>
  </si>
  <si>
    <t>ORD-10593</t>
  </si>
  <si>
    <t>ORD-10849</t>
  </si>
  <si>
    <t>ORD-10647</t>
  </si>
  <si>
    <t>ORD-10095</t>
  </si>
  <si>
    <t>ORD-10165</t>
  </si>
  <si>
    <t>ORD-10110</t>
  </si>
  <si>
    <t>ORD-10569</t>
  </si>
  <si>
    <t>ORD-10899</t>
  </si>
  <si>
    <t>ORD-10046</t>
  </si>
  <si>
    <t>ORD-10599</t>
  </si>
  <si>
    <t>ORD-10840</t>
  </si>
  <si>
    <t>ORD-10582</t>
  </si>
  <si>
    <t>ORD-10073</t>
  </si>
  <si>
    <t>ORD-10915</t>
  </si>
  <si>
    <t>ORD-10348</t>
  </si>
  <si>
    <t>ORD-10696</t>
  </si>
  <si>
    <t>ORD-10119</t>
  </si>
  <si>
    <t>ORD-10626</t>
  </si>
  <si>
    <t>ORD-10734</t>
  </si>
  <si>
    <t>ORD-10391</t>
  </si>
  <si>
    <t>ORD-10629</t>
  </si>
  <si>
    <t>ORD-10080</t>
  </si>
  <si>
    <t>ORD-10242</t>
  </si>
  <si>
    <t>ORD-10680</t>
  </si>
  <si>
    <t>ORD-10515</t>
  </si>
  <si>
    <t>ORD-10342</t>
  </si>
  <si>
    <t>ORD-10765</t>
  </si>
  <si>
    <t>ORD-10470</t>
  </si>
  <si>
    <t>ORD-10540</t>
  </si>
  <si>
    <t>ORD-10367</t>
  </si>
  <si>
    <t>ORD-10442</t>
  </si>
  <si>
    <t>ORD-10085</t>
  </si>
  <si>
    <t>ORD-10740</t>
  </si>
  <si>
    <t>ORD-10373</t>
  </si>
  <si>
    <t>ORD-10274</t>
  </si>
  <si>
    <t>ORD-10778</t>
  </si>
  <si>
    <t>ORD-10426</t>
  </si>
  <si>
    <t>ORD-10707</t>
  </si>
  <si>
    <t>ORD-10533</t>
  </si>
  <si>
    <t>ORD-10905</t>
  </si>
  <si>
    <t>ORD-10166</t>
  </si>
  <si>
    <t>ORD-10293</t>
  </si>
  <si>
    <t>ORD-10716</t>
  </si>
  <si>
    <t>ORD-10609</t>
  </si>
  <si>
    <t>ORD-10545</t>
  </si>
  <si>
    <t>ORD-10835</t>
  </si>
  <si>
    <t>ORD-10714</t>
  </si>
  <si>
    <t>2026-05-13</t>
  </si>
  <si>
    <t>ORD-10191</t>
  </si>
  <si>
    <t>ORD-10280</t>
  </si>
  <si>
    <t>ORD-10109</t>
  </si>
  <si>
    <t>ORD-10353</t>
  </si>
  <si>
    <t>ORD-10056</t>
  </si>
  <si>
    <t>ORD-10830</t>
  </si>
  <si>
    <t>ORD-10247</t>
  </si>
  <si>
    <t>ORD-10076</t>
  </si>
  <si>
    <t>ORD-10748</t>
  </si>
  <si>
    <t>ORD-10753</t>
  </si>
  <si>
    <t>ORD-10688</t>
  </si>
  <si>
    <t>ORD-10034</t>
  </si>
  <si>
    <t>ORD-10824</t>
  </si>
  <si>
    <t>ORD-10456</t>
  </si>
  <si>
    <t>ORD-10354</t>
  </si>
  <si>
    <t>ORD-10041</t>
  </si>
  <si>
    <t>ORD-10634</t>
  </si>
  <si>
    <t>ORD-10421</t>
  </si>
  <si>
    <t>ORD-10805</t>
  </si>
  <si>
    <t>ORD-10659</t>
  </si>
  <si>
    <t>2026-05-01</t>
  </si>
  <si>
    <t>ORD-10329</t>
  </si>
  <si>
    <t>ORD-10808</t>
  </si>
  <si>
    <t>ORD-10565</t>
  </si>
  <si>
    <t>ORD-10502</t>
  </si>
  <si>
    <t>ORD-10327</t>
  </si>
  <si>
    <t>ORD-10870</t>
  </si>
  <si>
    <t>ORD-10500</t>
  </si>
  <si>
    <t>ORD-10208</t>
  </si>
  <si>
    <t>ORD-10086</t>
  </si>
  <si>
    <t>ORD-10901</t>
  </si>
  <si>
    <t>ORD-10633</t>
  </si>
  <si>
    <t>ORD-10454</t>
  </si>
  <si>
    <t>ORD-10446</t>
  </si>
  <si>
    <t>ORD-10479</t>
  </si>
  <si>
    <t>ORD-10802</t>
  </si>
  <si>
    <t>ORD-10097</t>
  </si>
  <si>
    <t>ORD-10871</t>
  </si>
  <si>
    <t>ORD-10951</t>
  </si>
  <si>
    <t>ORD-10444</t>
  </si>
  <si>
    <t>ORD-10746</t>
  </si>
  <si>
    <t>ORD-10052</t>
  </si>
  <si>
    <t>ORD-10273</t>
  </si>
  <si>
    <t>ORD-10151</t>
  </si>
  <si>
    <t>ORD-10333</t>
  </si>
  <si>
    <t>ORD-10160</t>
  </si>
  <si>
    <t>2026-01-31</t>
  </si>
  <si>
    <t>ORD-10678</t>
  </si>
  <si>
    <t>ORD-10733</t>
  </si>
  <si>
    <t>ORD-10102</t>
  </si>
  <si>
    <t>ORD-10682</t>
  </si>
  <si>
    <t>ORD-10078</t>
  </si>
  <si>
    <t>ORD-10547</t>
  </si>
  <si>
    <t>ORD-10484</t>
  </si>
  <si>
    <t>ORD-10513</t>
  </si>
  <si>
    <t>ORD-10027</t>
  </si>
  <si>
    <t>ORD-10857</t>
  </si>
  <si>
    <t>ORD-10058</t>
  </si>
  <si>
    <t>ORD-10126</t>
  </si>
  <si>
    <t>ORD-10451</t>
  </si>
  <si>
    <t>ORD-10441</t>
  </si>
  <si>
    <t>ORD-10489</t>
  </si>
  <si>
    <t>ORD-10816</t>
  </si>
  <si>
    <t>ORD-10861</t>
  </si>
  <si>
    <t>ORD-10123</t>
  </si>
  <si>
    <t>ORD-10206</t>
  </si>
  <si>
    <t>ORD-10752</t>
  </si>
  <si>
    <t>ORD-10265</t>
  </si>
  <si>
    <t>ORD-10194</t>
  </si>
  <si>
    <t>ORD-10083</t>
  </si>
  <si>
    <t>ORD-10711</t>
  </si>
  <si>
    <t>ORD-10882</t>
  </si>
  <si>
    <t>2026-06-14</t>
  </si>
  <si>
    <t>ORD-10583</t>
  </si>
  <si>
    <t>ORD-10902</t>
  </si>
  <si>
    <t>ORD-10594</t>
  </si>
  <si>
    <t>ORD-10787</t>
  </si>
  <si>
    <t>ORD-10225</t>
  </si>
  <si>
    <t>ORD-10814</t>
  </si>
  <si>
    <t>ORD-10904</t>
  </si>
  <si>
    <t>ORD-10918</t>
  </si>
  <si>
    <t>ORD-10375</t>
  </si>
  <si>
    <t>ORD-10703</t>
  </si>
  <si>
    <t>ORD-10024</t>
  </si>
  <si>
    <t>ORD-10735</t>
  </si>
  <si>
    <t>ORD-10667</t>
  </si>
  <si>
    <t>ORD-10075</t>
  </si>
  <si>
    <t>ORD-10202</t>
  </si>
  <si>
    <t>ORD-10092</t>
  </si>
  <si>
    <t>ORD-10934</t>
  </si>
  <si>
    <t>ORD-10416</t>
  </si>
  <si>
    <t>ORD-10257</t>
  </si>
  <si>
    <t>ORD-10788</t>
  </si>
  <si>
    <t>ORD-10254</t>
  </si>
  <si>
    <t>ORD-10554</t>
  </si>
  <si>
    <t>ORD-10423</t>
  </si>
  <si>
    <t>ORD-10552</t>
  </si>
  <si>
    <t>ORD-10529</t>
  </si>
  <si>
    <t>2026-04-06</t>
  </si>
  <si>
    <t>ORD-10453</t>
  </si>
  <si>
    <t>ORD-10708</t>
  </si>
  <si>
    <t>ORD-10600</t>
  </si>
  <si>
    <t>ORD-10412</t>
  </si>
  <si>
    <t>ORD-10758</t>
  </si>
  <si>
    <t>ORD-10176</t>
  </si>
  <si>
    <t>ORD-10782</t>
  </si>
  <si>
    <t>ORD-10197</t>
  </si>
  <si>
    <t>ORD-10262</t>
  </si>
  <si>
    <t>ORD-10070</t>
  </si>
  <si>
    <t>ORD-10727</t>
  </si>
  <si>
    <t>ORD-10205</t>
  </si>
  <si>
    <t>ORD-10406</t>
  </si>
  <si>
    <t>ORD-10301</t>
  </si>
  <si>
    <t>ORD-10106</t>
  </si>
  <si>
    <t>ORD-10401</t>
  </si>
  <si>
    <t>ORD-10324</t>
  </si>
  <si>
    <t>ORD-10677</t>
  </si>
  <si>
    <t>ORD-10289</t>
  </si>
  <si>
    <t>ORD-10229</t>
  </si>
  <si>
    <t>ORD-10378</t>
  </si>
  <si>
    <t>ORD-10909</t>
  </si>
  <si>
    <t>ORD-10665</t>
  </si>
  <si>
    <t>ORD-10773</t>
  </si>
  <si>
    <t>ORD-10135</t>
  </si>
  <si>
    <t>ORD-10011</t>
  </si>
  <si>
    <t>ORD-10953</t>
  </si>
  <si>
    <t>ORD-10372</t>
  </si>
  <si>
    <t>ORD-10710</t>
  </si>
  <si>
    <t>ORD-10181</t>
  </si>
  <si>
    <t>ORD-10408</t>
  </si>
  <si>
    <t>ORD-10544</t>
  </si>
  <si>
    <t>ORD-10440</t>
  </si>
  <si>
    <t>ORD-10789</t>
  </si>
  <si>
    <t>ORD-10002</t>
  </si>
  <si>
    <t>ORD-10498</t>
  </si>
  <si>
    <t>ORD-10435</t>
  </si>
  <si>
    <t>ORD-10828</t>
  </si>
  <si>
    <t>ORD-10804</t>
  </si>
  <si>
    <t>ORD-10674</t>
  </si>
  <si>
    <t>ORD-10486</t>
  </si>
  <si>
    <t>ORD-10279</t>
  </si>
  <si>
    <t>ORD-10537</t>
  </si>
  <si>
    <t>ORD-10741</t>
  </si>
  <si>
    <t>ORD-10386</t>
  </si>
  <si>
    <t>ORD-10137</t>
  </si>
  <si>
    <t>ORD-10669</t>
  </si>
  <si>
    <t>ORD-10635</t>
  </si>
  <si>
    <t>ORD-10362</t>
  </si>
  <si>
    <t>2026-03-14</t>
  </si>
  <si>
    <t>ORD-10879</t>
  </si>
  <si>
    <t>ORD-10872</t>
  </si>
  <si>
    <t>ORD-10349</t>
  </si>
  <si>
    <t>ORD-10023</t>
  </si>
  <si>
    <t>ORD-10642</t>
  </si>
  <si>
    <t>ORD-10125</t>
  </si>
  <si>
    <t>ORD-10833</t>
  </si>
  <si>
    <t>ORD-10436</t>
  </si>
  <si>
    <t>ORD-10940</t>
  </si>
  <si>
    <t>ORD-10063</t>
  </si>
  <si>
    <t>ORD-10040</t>
  </si>
  <si>
    <t>ORD-10186</t>
  </si>
  <si>
    <t>ORD-10215</t>
  </si>
  <si>
    <t>ORD-10762</t>
  </si>
  <si>
    <t>ORD-10264</t>
  </si>
  <si>
    <t>ORD-10839</t>
  </si>
  <si>
    <t>ORD-10512</t>
  </si>
  <si>
    <t>ORD-10359</t>
  </si>
  <si>
    <t>ORD-10318</t>
  </si>
  <si>
    <t>ORD-10838</t>
  </si>
  <si>
    <t>ORD-10618</t>
  </si>
  <si>
    <t>ORD-10632</t>
  </si>
  <si>
    <t>ORD-10196</t>
  </si>
  <si>
    <t>ORD-10850</t>
  </si>
  <si>
    <t>ORD-10610</t>
  </si>
  <si>
    <t>ORD-10476</t>
  </si>
  <si>
    <t>ORD-10862</t>
  </si>
  <si>
    <t>ORD-10887</t>
  </si>
  <si>
    <t>ORD-10769</t>
  </si>
  <si>
    <t>ORD-10942</t>
  </si>
  <si>
    <t>2026-06-27</t>
  </si>
  <si>
    <t>ORD-10792</t>
  </si>
  <si>
    <t>ORD-10532</t>
  </si>
  <si>
    <t>ORD-10320</t>
  </si>
  <si>
    <t>ORD-10428</t>
  </si>
  <si>
    <t>ORD-10495</t>
  </si>
  <si>
    <t>ORD-10784</t>
  </si>
  <si>
    <t>ORD-10051</t>
  </si>
  <si>
    <t>ORD-10462</t>
  </si>
  <si>
    <t>ORD-10474</t>
  </si>
  <si>
    <t>ORD-10825</t>
  </si>
  <si>
    <t>ORD-10889</t>
  </si>
  <si>
    <t>ORD-10943</t>
  </si>
  <si>
    <t>ORD-10836</t>
  </si>
  <si>
    <t>ORD-10303</t>
  </si>
  <si>
    <t>ORD-10156</t>
  </si>
  <si>
    <t>ORD-10195</t>
  </si>
  <si>
    <t>ORD-10055</t>
  </si>
  <si>
    <t>ORD-10397</t>
  </si>
  <si>
    <t>ORD-10233</t>
  </si>
  <si>
    <t>ORD-10494</t>
  </si>
  <si>
    <t>ORD-10351</t>
  </si>
  <si>
    <t>ORD-10528</t>
  </si>
  <si>
    <t>ORD-10775</t>
  </si>
  <si>
    <t>ORD-10101</t>
  </si>
  <si>
    <t>ORD-10751</t>
  </si>
  <si>
    <t>ORD-10297</t>
  </si>
  <si>
    <t>ORD-10604</t>
  </si>
  <si>
    <t>ORD-10214</t>
  </si>
  <si>
    <t>ORD-10923</t>
  </si>
  <si>
    <t>ORD-10534</t>
  </si>
  <si>
    <t>ORD-10452</t>
  </si>
  <si>
    <t>ORD-10518</t>
  </si>
  <si>
    <t>ORD-10854</t>
  </si>
  <si>
    <t>ORD-10663</t>
  </si>
  <si>
    <t>ORD-10443</t>
  </si>
  <si>
    <t>ORD-10429</t>
  </si>
  <si>
    <t>ORD-10820</t>
  </si>
  <si>
    <t>ORD-10504</t>
  </si>
  <si>
    <t>ORD-10645</t>
  </si>
  <si>
    <t>ORD-10743</t>
  </si>
  <si>
    <t>ORD-10275</t>
  </si>
  <si>
    <t>ORD-10607</t>
  </si>
  <si>
    <t>ORD-10800</t>
  </si>
  <si>
    <t>ORD-10399</t>
  </si>
  <si>
    <t>ORD-10881</t>
  </si>
  <si>
    <t>ORD-10772</t>
  </si>
  <si>
    <t>ORD-10866</t>
  </si>
  <si>
    <t>ORD-10270</t>
  </si>
  <si>
    <t>ORD-10004</t>
  </si>
  <si>
    <t>ORD-10308</t>
  </si>
  <si>
    <t>ORD-10829</t>
  </si>
  <si>
    <t>ORD-10713</t>
  </si>
  <si>
    <t>ORD-10174</t>
  </si>
  <si>
    <t>ORD-10721</t>
  </si>
  <si>
    <t>ORD-10064</t>
  </si>
  <si>
    <t>ORD-10296</t>
  </si>
  <si>
    <t>ORD-10407</t>
  </si>
  <si>
    <t>ORD-10806</t>
  </si>
  <si>
    <t>ORD-10316</t>
  </si>
  <si>
    <t>ORD-10334</t>
  </si>
  <si>
    <t>ORD-10169</t>
  </si>
  <si>
    <t>ORD-10272</t>
  </si>
  <si>
    <t>ORD-10730</t>
  </si>
  <si>
    <t>ORD-10543</t>
  </si>
  <si>
    <t>ORD-10269</t>
  </si>
  <si>
    <t>ORD-10187</t>
  </si>
  <si>
    <t>ORD-10142</t>
  </si>
  <si>
    <t>ORD-10430</t>
  </si>
  <si>
    <t>ORD-10916</t>
  </si>
  <si>
    <t>ORD-10404</t>
  </si>
  <si>
    <t>ORD-10103</t>
  </si>
  <si>
    <t>ORD-10895</t>
  </si>
  <si>
    <t>ORD-10039</t>
  </si>
  <si>
    <t>ORD-10422</t>
  </si>
  <si>
    <t>ORD-10216</t>
  </si>
  <si>
    <t>ORD-10891</t>
  </si>
  <si>
    <t>ORD-10139</t>
  </si>
  <si>
    <t>ORD-10564</t>
  </si>
  <si>
    <t>ORD-10658</t>
  </si>
  <si>
    <t>ORD-10754</t>
  </si>
  <si>
    <t>ORD-10145</t>
  </si>
  <si>
    <t>ORD-10812</t>
  </si>
  <si>
    <t>ORD-10884</t>
  </si>
  <si>
    <t>ORD-10258</t>
  </si>
  <si>
    <t>ORD-10653</t>
  </si>
  <si>
    <t>ORD-10410</t>
  </si>
  <si>
    <t>ORD-10448</t>
  </si>
  <si>
    <t>ORD-10393</t>
  </si>
  <si>
    <t>ORD-10576</t>
  </si>
  <si>
    <t>ORD-10705</t>
  </si>
  <si>
    <t>ORD-10625</t>
  </si>
  <si>
    <t>ORD-10715</t>
  </si>
  <si>
    <t>ORD-10159</t>
  </si>
  <si>
    <t>ORD-10396</t>
  </si>
  <si>
    <t>ORD-10031</t>
  </si>
  <si>
    <t>ORD-10811</t>
  </si>
  <si>
    <t>ORD-10287</t>
  </si>
  <si>
    <t>ORD-10605</t>
  </si>
  <si>
    <t>ORD-10874</t>
  </si>
  <si>
    <t>ORD-10473</t>
  </si>
  <si>
    <t>ORD-10732</t>
  </si>
  <si>
    <t>ORD-10776</t>
  </si>
  <si>
    <t>ORD-10555</t>
  </si>
  <si>
    <t>ORD-10955</t>
  </si>
  <si>
    <t>ORD-10539</t>
  </si>
  <si>
    <t>ORD-10104</t>
  </si>
  <si>
    <t>ORD-10434</t>
  </si>
  <si>
    <t>ORD-10432</t>
  </si>
  <si>
    <t>ORD-10506</t>
  </si>
  <si>
    <t>ORD-10919</t>
  </si>
  <si>
    <t>ORD-10044</t>
  </si>
  <si>
    <t>ORD-10561</t>
  </si>
  <si>
    <t>ORD-10531</t>
  </si>
  <si>
    <t>ORD-10439</t>
  </si>
  <si>
    <t>ORD-10842</t>
  </si>
  <si>
    <t>ORD-10492</t>
  </si>
  <si>
    <t>ORD-10116</t>
  </si>
  <si>
    <t>ORD-10586</t>
  </si>
  <si>
    <t>ORD-10526</t>
  </si>
  <si>
    <t>ORD-10475</t>
  </si>
  <si>
    <t>ORD-10694</t>
  </si>
  <si>
    <t>ORD-10697</t>
  </si>
  <si>
    <t>ORD-10266</t>
  </si>
  <si>
    <t>ORD-10392</t>
  </si>
  <si>
    <t>ORD-10795</t>
  </si>
  <si>
    <t>ORD-10130</t>
  </si>
  <si>
    <t>ORD-10364</t>
  </si>
  <si>
    <t>ORD-10288</t>
  </si>
  <si>
    <t>ORD-10162</t>
  </si>
  <si>
    <t>ORD-10132</t>
  </si>
  <si>
    <t>ORD-10897</t>
  </si>
  <si>
    <t>ORD-10944</t>
  </si>
  <si>
    <t>ORD-10268</t>
  </si>
  <si>
    <t>ORD-10413</t>
  </si>
  <si>
    <t>ORD-10312</t>
  </si>
  <si>
    <t>2026-03-05</t>
  </si>
  <si>
    <t>ORD-10050</t>
  </si>
  <si>
    <t>ORD-10420</t>
  </si>
  <si>
    <t>ORD-10572</t>
  </si>
  <si>
    <t>ORD-10654</t>
  </si>
  <si>
    <t>ORD-10641</t>
  </si>
  <si>
    <t>ORD-10226</t>
  </si>
  <si>
    <t>ORD-10450</t>
  </si>
  <si>
    <t>ORD-10556</t>
  </si>
  <si>
    <t>ORD-10243</t>
  </si>
  <si>
    <t>ORD-10009</t>
  </si>
  <si>
    <t>ORD-10457</t>
  </si>
  <si>
    <t>ORD-10851</t>
  </si>
  <si>
    <t>ORD-10662</t>
  </si>
  <si>
    <t>ORD-10579</t>
  </si>
  <si>
    <t>ORD-10719</t>
  </si>
  <si>
    <t>ORD-10810</t>
  </si>
  <si>
    <t>ORD-10928</t>
  </si>
  <si>
    <t>ORD-10920</t>
  </si>
  <si>
    <t>ORD-10617</t>
  </si>
  <si>
    <t>ORD-10155</t>
  </si>
  <si>
    <t>ORD-10294</t>
  </si>
  <si>
    <t>ORD-10087</t>
  </si>
  <si>
    <t>ORD-10113</t>
  </si>
  <si>
    <t>ORD-10178</t>
  </si>
  <si>
    <t>ORD-10755</t>
  </si>
  <si>
    <t>ORD-10657</t>
  </si>
  <si>
    <t>ORD-10661</t>
  </si>
  <si>
    <t>ORD-10921</t>
  </si>
  <si>
    <t>ORD-10646</t>
  </si>
  <si>
    <t>ORD-10100</t>
  </si>
  <si>
    <t>ORD-10592</t>
  </si>
  <si>
    <t>ORD-10147</t>
  </si>
  <si>
    <t>ORD-10143</t>
  </si>
  <si>
    <t>ORD-10363</t>
  </si>
  <si>
    <t>ORD-10690</t>
  </si>
  <si>
    <t>ORD-10695</t>
  </si>
  <si>
    <t>ORD-10863</t>
  </si>
  <si>
    <t>ORD-10590</t>
  </si>
  <si>
    <t>ORD-10914</t>
  </si>
  <si>
    <t>ORD-10255</t>
  </si>
  <si>
    <t>ORD-10761</t>
  </si>
  <si>
    <t>ORD-10292</t>
  </si>
  <si>
    <t>ORD-10369</t>
  </si>
  <si>
    <t>ORD-10344</t>
  </si>
  <si>
    <t>ORD-10433</t>
  </si>
  <si>
    <t>ORD-10286</t>
  </si>
  <si>
    <t>ORD-10193</t>
  </si>
  <si>
    <t>ORD-10627</t>
  </si>
  <si>
    <t>ORD-10134</t>
  </si>
  <si>
    <t>ORD-10276</t>
  </si>
  <si>
    <t>ORD-10152</t>
  </si>
  <si>
    <t>ORD-10933</t>
  </si>
  <si>
    <t>ORD-10937</t>
  </si>
  <si>
    <t>ORD-10813</t>
  </si>
  <si>
    <t>ORD-10679</t>
  </si>
  <si>
    <t>ORD-10771</t>
  </si>
  <si>
    <t>ORD-10263</t>
  </si>
  <si>
    <t>ORD-10577</t>
  </si>
  <si>
    <t>ORD-10570</t>
  </si>
  <si>
    <t>ORD-10483</t>
  </si>
  <si>
    <t>ORD-10015</t>
  </si>
  <si>
    <t>ORD-10394</t>
  </si>
  <si>
    <t>ORD-10558</t>
  </si>
  <si>
    <t>ORD-10535</t>
  </si>
  <si>
    <t>ORD-10310</t>
  </si>
  <si>
    <t>ORD-10731</t>
  </si>
  <si>
    <t>ORD-10010</t>
  </si>
  <si>
    <t>ORD-10325</t>
  </si>
  <si>
    <t>ORD-10237</t>
  </si>
  <si>
    <t>ORD-10501</t>
  </si>
  <si>
    <t>ORD-10157</t>
  </si>
  <si>
    <t>ORD-10461</t>
  </si>
  <si>
    <t>ORD-10099</t>
  </si>
  <si>
    <t>ORD-10409</t>
  </si>
  <si>
    <t>ORD-10207</t>
  </si>
  <si>
    <t>ORD-10313</t>
  </si>
  <si>
    <t>ORD-10527</t>
  </si>
  <si>
    <t>ORD-10464</t>
  </si>
  <si>
    <t>ORD-10164</t>
  </si>
  <si>
    <t>ORD-10158</t>
  </si>
  <si>
    <t>ORD-10012</t>
  </si>
  <si>
    <t>ORD-10858</t>
  </si>
  <si>
    <t>ORD-10184</t>
  </si>
  <si>
    <t>ORD-10141</t>
  </si>
  <si>
    <t>ORD-10260</t>
  </si>
  <si>
    <t>ORD-10573</t>
  </si>
  <si>
    <t>ORD-10424</t>
  </si>
  <si>
    <t>ORD-10133</t>
  </si>
  <si>
    <t>ORD-10383</t>
  </si>
  <si>
    <t>ORD-10660</t>
  </si>
  <si>
    <t>ORD-10892</t>
  </si>
  <si>
    <t>ORD-10709</t>
  </si>
  <si>
    <t>ORD-10693</t>
  </si>
  <si>
    <t>ORD-10305</t>
  </si>
  <si>
    <t>ORD-10302</t>
  </si>
  <si>
    <t>ORD-10161</t>
  </si>
  <si>
    <t>ORD-10361</t>
  </si>
  <si>
    <t>ORD-10180</t>
  </si>
  <si>
    <t>ORD-10541</t>
  </si>
  <si>
    <t>ORD-10794</t>
  </si>
  <si>
    <t>ORD-10853</t>
  </si>
  <si>
    <t>ORD-10360</t>
  </si>
  <si>
    <t>ORD-10122</t>
  </si>
  <si>
    <t>ORD-10783</t>
  </si>
  <si>
    <t>ORD-10957</t>
  </si>
  <si>
    <t>ORD-10749</t>
  </si>
  <si>
    <t>ORD-10008</t>
  </si>
  <si>
    <t>ORD-10074</t>
  </si>
  <si>
    <t>ORD-10437</t>
  </si>
  <si>
    <t>ORD-10666</t>
  </si>
  <si>
    <t>ORD-10880</t>
  </si>
  <si>
    <t>ORD-10335</t>
  </si>
  <si>
    <t>ORD-10759</t>
  </si>
  <si>
    <t>ORD-10651</t>
  </si>
  <si>
    <t>ORD-10818</t>
  </si>
  <si>
    <t>ORD-10912</t>
  </si>
  <si>
    <t>ORD-10079</t>
  </si>
  <si>
    <t>ORD-10616</t>
  </si>
  <si>
    <t>ORD-10684</t>
  </si>
  <si>
    <t>ORD-10427</t>
  </si>
  <si>
    <t>ORD-10127</t>
  </si>
  <si>
    <t>ORD-10638</t>
  </si>
  <si>
    <t>ORD-10235</t>
  </si>
  <si>
    <t>ORD-10278</t>
  </si>
  <si>
    <t>ORD-10878</t>
  </si>
  <si>
    <t>ORD-10774</t>
  </si>
  <si>
    <t>ORD-10766</t>
  </si>
  <si>
    <t>ORD-10729</t>
  </si>
  <si>
    <t>ORD-10700</t>
  </si>
  <si>
    <t>ORD-10739</t>
  </si>
  <si>
    <t>ORD-10797</t>
  </si>
  <si>
    <t>ORD-10284</t>
  </si>
  <si>
    <t>ORD-10199</t>
  </si>
  <si>
    <t>ORD-10685</t>
  </si>
  <si>
    <t>ORD-10823</t>
  </si>
  <si>
    <t>ORD-10530</t>
  </si>
  <si>
    <t>ORD-10220</t>
  </si>
  <si>
    <t>ORD-10291</t>
  </si>
  <si>
    <t>ORD-10069</t>
  </si>
  <si>
    <t>ORD-10936</t>
  </si>
  <si>
    <t>ORD-10591</t>
  </si>
  <si>
    <t>ORD-10124</t>
  </si>
  <si>
    <t>ORD-10388</t>
  </si>
  <si>
    <t>ORD-10172</t>
  </si>
  <si>
    <t>ORD-10021</t>
  </si>
  <si>
    <t>ORD-10608</t>
  </si>
  <si>
    <t>ORD-10779</t>
  </si>
  <si>
    <t>ORD-10295</t>
  </si>
  <si>
    <t>ORD-10366</t>
  </si>
  <si>
    <t>ORD-10908</t>
  </si>
  <si>
    <t>ORD-10030</t>
  </si>
  <si>
    <t>ORD-10906</t>
  </si>
  <si>
    <t>ORD-10522</t>
  </si>
  <si>
    <t>ORD-10153</t>
  </si>
  <si>
    <t>ORD-10298</t>
  </si>
  <si>
    <t>ORD-10652</t>
  </si>
  <si>
    <t>ORD-10171</t>
  </si>
  <si>
    <t>ORD-10670</t>
  </si>
  <si>
    <t>ORD-10482</t>
  </si>
  <si>
    <t>ORD-10219</t>
  </si>
  <si>
    <t>ORD-10330</t>
  </si>
  <si>
    <t>ORD-10170</t>
  </si>
  <si>
    <t>ORD-10883</t>
  </si>
  <si>
    <t>ORD-10941</t>
  </si>
  <si>
    <t>ORD-10332</t>
  </si>
  <si>
    <t>ORD-10047</t>
  </si>
  <si>
    <t>ORD-10314</t>
  </si>
  <si>
    <t>ORD-10232</t>
  </si>
  <si>
    <t>ORD-10061</t>
  </si>
  <si>
    <t>ORD-10138</t>
  </si>
  <si>
    <t>📊 Excel Practice Assignment — Module 2</t>
  </si>
  <si>
    <t>Data Exploration &amp; Visualization in Excel</t>
  </si>
  <si>
    <t>Course:</t>
  </si>
  <si>
    <t>Data Analytics &amp; Business Intelligence</t>
  </si>
  <si>
    <t>Topic:</t>
  </si>
  <si>
    <t>Sorting, Filtering, Summarizing, Pivot Tables, Charts &amp; Conditional Formatting</t>
  </si>
  <si>
    <t>Level:</t>
  </si>
  <si>
    <t>Beginner — no prior Excel experience assumed</t>
  </si>
  <si>
    <t>Dataset:</t>
  </si>
  <si>
    <t>'Sales Data' sheet — 6 months of retail sales for a fictional Pakistani retail chain, ShopEasy</t>
  </si>
  <si>
    <t>🎯 Learning Objectives</t>
  </si>
  <si>
    <t>•  Sort and filter a real dataset to answer specific business questions</t>
  </si>
  <si>
    <t>•  Build PivotTables to summarize data and uncover hidden patterns</t>
  </si>
  <si>
    <t>•  Create charts that communicate a trend clearly</t>
  </si>
  <si>
    <t>•  Apply conditional formatting to highlight important values</t>
  </si>
  <si>
    <t>🗂️ Workbook Guide</t>
  </si>
  <si>
    <t>Sales Data</t>
  </si>
  <si>
    <t>957 raw sales transactions (Jan–Jun 2026). Don't delete or reorder — copy it if you want to experiment.</t>
  </si>
  <si>
    <t>Everything you need to complete, in order. Do your sorting/filtering here directly on a copy of the data, and answer the pivot table questions in the space provided.</t>
  </si>
  <si>
    <t>Pivot Table Workspace</t>
  </si>
  <si>
    <t>A blank sheet — build your PivotTables and charts here.</t>
  </si>
  <si>
    <t>✅ How to Submit</t>
  </si>
  <si>
    <t>1.  Complete every task on the 'Tasks &amp; Questions' sheet (type answers directly into the yellow cells)</t>
  </si>
  <si>
    <t>2.  Build all requested PivotTables and charts on the 'Pivot Table Workspace' sheet</t>
  </si>
  <si>
    <t>3.  Apply the requested conditional formatting directly on the 'Sales Data' sheet</t>
  </si>
  <si>
    <t>4.  Save the file as YourName_Module2_Assignment.xlsx and submit it</t>
  </si>
  <si>
    <t>💡 Tip: There is no single 'correct' pivot table layout — the goal is to correctly answer each question. If a number looks odd, double-check which field you summarized and how (Sum vs. Count vs. Average).</t>
  </si>
  <si>
    <t>Weekday</t>
  </si>
  <si>
    <t>Bano Qabil Module 2 — Pivot Tables &amp; Charts</t>
  </si>
  <si>
    <t>2.1 Region Revenue</t>
  </si>
  <si>
    <t>2.3 Salesperson Revenue</t>
  </si>
  <si>
    <t>Sum of Sales Amount (PKR)</t>
  </si>
  <si>
    <t>Grand Total</t>
  </si>
  <si>
    <t>2.2 Region × Category Revenue</t>
  </si>
  <si>
    <t>2.4 Category Units Sold</t>
  </si>
  <si>
    <t>Sum of Units Sold</t>
  </si>
  <si>
    <t>2.5 Month × Payment Method — Count of Orders</t>
  </si>
  <si>
    <t>Month</t>
  </si>
  <si>
    <t>Total</t>
  </si>
  <si>
    <t>Jan</t>
  </si>
  <si>
    <t>Feb</t>
  </si>
  <si>
    <t>Mar</t>
  </si>
  <si>
    <t>Apr</t>
  </si>
  <si>
    <t>May</t>
  </si>
  <si>
    <t>Jun</t>
  </si>
  <si>
    <t>2.6 Clothing + Footwear Monthly Revenue</t>
  </si>
  <si>
    <t>2.7 Groceries by Weekday</t>
  </si>
  <si>
    <t>Monday</t>
  </si>
  <si>
    <t>Tuesday</t>
  </si>
  <si>
    <t>Wednesday</t>
  </si>
  <si>
    <t>Thursday</t>
  </si>
  <si>
    <t>Friday</t>
  </si>
  <si>
    <t>Saturday</t>
  </si>
  <si>
    <t>Sunday</t>
  </si>
  <si>
    <t>Completed Insights</t>
  </si>
  <si>
    <t>2.1 Highest region: Karachi. Lowest: Islamabad.</t>
  </si>
  <si>
    <t>2.2 Karachi's strongest category by revenue: Electronics.</t>
  </si>
  <si>
    <t>2.3 Top salesperson: Sana Tariq. Weakest: Nabeel Shah.</t>
  </si>
  <si>
    <t>2.4 Most units: Groceries (357).</t>
  </si>
  <si>
    <t>2.5 Online payments: Jan 14 → Jun 55.</t>
  </si>
  <si>
    <t>2.6 Late March/early April shows elevated Clothing + Footwear sales; likely Eid shopping.</t>
  </si>
  <si>
    <t>2.7 Saturday and Friday have the highest grocery sales values; weekends are mixed, not uniformly higher.</t>
  </si>
  <si>
    <t>Sorting &amp; Filtering — Required Evidence</t>
  </si>
  <si>
    <t>1.1 Sorted by Sales Amount (PKR), highest to lowest</t>
  </si>
  <si>
    <t>Top 5 highest single-sale transactions</t>
  </si>
  <si>
    <t>1.2 Filtered: Region = Karachi AND Category = Electronics</t>
  </si>
  <si>
    <t>Result: 51 transactions</t>
  </si>
  <si>
    <t>First 15 matching rows shown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</si>
</sst>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Calibri"/>
      <family val="2"/>
      <charset val="1"/>
    </font>
    <font>
      <b/>
      <sz val="11"/>
      <color theme="1"/>
      <name val="Calibri"/>
      <family val="2"/>
      <charset val="1"/>
    </font>
    <font>
      <b/>
      <sz val="11"/>
      <color rgb="FFFFFFFF"/>
      <name val="Calibri"/>
      <charset val="1"/>
    </font>
    <font>
      <b/>
      <sz val="18"/>
      <color rgb="FFFFFFFF"/>
      <name val="Calibri"/>
      <charset val="1"/>
    </font>
    <font>
      <b/>
      <sz val="13"/>
      <color rgb="FFFFFFFF"/>
      <name val="Calibri"/>
      <charset val="1"/>
    </font>
    <font>
      <b/>
      <sz val="11"/>
      <color rgb="FF000000"/>
      <name val="Calibri"/>
      <charset val="1"/>
    </font>
    <font>
      <sz val="11"/>
      <color rgb="FF000000"/>
      <name val="Calibri"/>
      <charset val="1"/>
    </font>
    <font>
      <b/>
      <sz val="11"/>
      <color rgb="FF1F3864"/>
      <name val="Calibri"/>
      <charset val="1"/>
    </font>
    <font>
      <i/>
      <sz val="11"/>
      <color rgb="FF7F6000"/>
      <name val="Calibri"/>
      <charset val="1"/>
    </font>
    <font>
      <b/>
      <sz val="16"/>
      <color rgb="FFFFFFFF"/>
      <name val="Calibri"/>
      <charset val="1"/>
    </font>
    <font>
      <b/>
      <sz val="11"/>
      <name val="Calibri"/>
      <charset val="1"/>
    </font>
    <font>
      <i/>
      <sz val="11"/>
      <color rgb="FF595959"/>
      <name val="Calibri"/>
      <charset val="1"/>
    </font>
    <font>
      <i/>
      <sz val="9"/>
      <color rgb="FF7F6000"/>
      <name val="Calibri"/>
      <charset val="1"/>
    </font>
    <font>
      <i/>
      <sz val="9"/>
      <color rgb="FF7F6000"/>
      <name val="Calibri"/>
      <family val="2"/>
      <charset val="1"/>
    </font>
    <font>
      <sz val="11"/>
      <color rgb="FF000000"/>
      <name val="Calibri"/>
      <family val="2"/>
      <charset val="1"/>
    </font>
    <font>
      <b/>
      <sz val="16"/>
      <name val="Calibri"/>
    </font>
    <font>
      <b/>
      <sz val="13"/>
      <name val="Calibri"/>
    </font>
    <font>
      <b/>
      <sz val="11"/>
      <color rgb="FFFFFFFF"/>
      <name val="Calibri"/>
    </font>
    <font>
      <b/>
      <sz val="11"/>
      <name val="Calibri"/>
    </font>
    <font>
      <sz val="11"/>
      <color theme="1"/>
      <name val="Calibri"/>
      <family val="2"/>
      <charset val="1"/>
    </font>
  </fonts>
  <fills count="7">
    <fill>
      <patternFill patternType="none"/>
    </fill>
    <fill>
      <patternFill patternType="gray125"/>
    </fill>
    <fill>
      <patternFill patternType="solid">
        <fgColor rgb="FF1F3864"/>
        <bgColor rgb="FF2E5395"/>
      </patternFill>
    </fill>
    <fill>
      <patternFill patternType="solid">
        <fgColor rgb="FF2E5395"/>
        <bgColor rgb="FF1F3864"/>
      </patternFill>
    </fill>
    <fill>
      <patternFill patternType="solid">
        <fgColor rgb="FFFFF2CC"/>
        <bgColor rgb="FFFFFFFF"/>
      </patternFill>
    </fill>
    <fill>
      <patternFill patternType="solid">
        <fgColor rgb="FF375623"/>
        <bgColor rgb="FF595959"/>
      </patternFill>
    </fill>
    <fill>
      <patternFill patternType="solid">
        <fgColor rgb="FF1F4E78"/>
      </patternFill>
    </fill>
  </fills>
  <borders count="30">
    <border>
      <left/>
      <right/>
      <top/>
      <bottom/>
      <diagonal/>
    </border>
    <border>
      <left/>
      <right/>
      <top/>
      <bottom style="thin">
        <color rgb="FF1F3864"/>
      </bottom>
      <diagonal/>
    </border>
    <border>
      <left style="thin">
        <color rgb="FFBF8F00"/>
      </left>
      <right style="thin">
        <color rgb="FFBF8F00"/>
      </right>
      <top style="thin">
        <color rgb="FFBF8F00"/>
      </top>
      <bottom style="thin">
        <color rgb="FFBF8F00"/>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right style="thin">
        <color auto="1"/>
      </right>
      <top style="medium">
        <color auto="1"/>
      </top>
      <bottom style="thin">
        <color auto="1"/>
      </bottom>
      <diagonal/>
    </border>
  </borders>
  <cellStyleXfs count="7">
    <xf numFmtId="0" fontId="0" fillId="0" borderId="0"/>
    <xf numFmtId="0" fontId="19" fillId="0" borderId="0"/>
    <xf numFmtId="0" fontId="19" fillId="0" borderId="0"/>
    <xf numFmtId="0" fontId="19" fillId="0" borderId="0"/>
    <xf numFmtId="0" fontId="19" fillId="0" borderId="0">
      <alignment horizontal="left"/>
    </xf>
    <xf numFmtId="0" fontId="1" fillId="0" borderId="0">
      <alignment horizontal="left"/>
    </xf>
    <xf numFmtId="0" fontId="1" fillId="0" borderId="0"/>
  </cellStyleXfs>
  <cellXfs count="82">
    <xf numFmtId="0" fontId="0" fillId="0" borderId="0" xfId="0"/>
    <xf numFmtId="0" fontId="2" fillId="2" borderId="1" xfId="0" applyFont="1" applyFill="1" applyBorder="1" applyAlignment="1">
      <alignment horizontal="center" vertical="center"/>
    </xf>
    <xf numFmtId="164" fontId="0" fillId="0" borderId="0" xfId="0" applyNumberFormat="1"/>
    <xf numFmtId="3" fontId="0" fillId="0" borderId="0" xfId="0" applyNumberFormat="1"/>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9" fillId="2" borderId="0" xfId="0" applyFont="1" applyFill="1"/>
    <xf numFmtId="0" fontId="10" fillId="0" borderId="0" xfId="0" applyFont="1"/>
    <xf numFmtId="0" fontId="11" fillId="0" borderId="0" xfId="0" applyFont="1" applyAlignment="1">
      <alignment vertical="top" wrapText="1"/>
    </xf>
    <xf numFmtId="0" fontId="14" fillId="0" borderId="0" xfId="0" applyFont="1" applyAlignment="1">
      <alignment vertical="top" wrapText="1"/>
    </xf>
    <xf numFmtId="0" fontId="0" fillId="0" borderId="3" xfId="0" applyBorder="1"/>
    <xf numFmtId="0" fontId="0" fillId="0" borderId="4" xfId="0" applyBorder="1"/>
    <xf numFmtId="0" fontId="0" fillId="0" borderId="5" xfId="0" applyBorder="1" applyAlignment="1">
      <alignment horizontal="left" indent="1"/>
    </xf>
    <xf numFmtId="3" fontId="0" fillId="0" borderId="6" xfId="0" applyNumberFormat="1" applyBorder="1"/>
    <xf numFmtId="0" fontId="0" fillId="0" borderId="7" xfId="0" applyBorder="1" applyAlignment="1">
      <alignment horizontal="left" indent="1"/>
    </xf>
    <xf numFmtId="3" fontId="0" fillId="0" borderId="8" xfId="0" applyNumberFormat="1" applyBorder="1"/>
    <xf numFmtId="0" fontId="0" fillId="0" borderId="9" xfId="0" applyBorder="1" applyAlignment="1">
      <alignment horizontal="left" indent="1"/>
    </xf>
    <xf numFmtId="3" fontId="0" fillId="0" borderId="10" xfId="0" applyNumberFormat="1" applyBorder="1"/>
    <xf numFmtId="0" fontId="1" fillId="0" borderId="11" xfId="0" applyFont="1" applyBorder="1" applyAlignment="1">
      <alignment horizontal="left"/>
    </xf>
    <xf numFmtId="3" fontId="1" fillId="0" borderId="12" xfId="0" applyNumberFormat="1" applyFont="1" applyBorder="1"/>
    <xf numFmtId="0" fontId="0" fillId="0" borderId="7" xfId="0" applyBorder="1" applyAlignment="1">
      <alignment horizontal="left"/>
    </xf>
    <xf numFmtId="0" fontId="0" fillId="0" borderId="8" xfId="0" applyBorder="1"/>
    <xf numFmtId="0" fontId="1" fillId="0" borderId="12" xfId="0" applyFont="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9" xfId="0" applyBorder="1"/>
    <xf numFmtId="0" fontId="0" fillId="0" borderId="17" xfId="0" applyBorder="1" applyAlignment="1">
      <alignment horizontal="left"/>
    </xf>
    <xf numFmtId="0" fontId="0" fillId="0" borderId="18" xfId="0" applyBorder="1" applyAlignment="1">
      <alignment horizontal="left"/>
    </xf>
    <xf numFmtId="0" fontId="1" fillId="0" borderId="19" xfId="0" applyFont="1" applyBorder="1" applyAlignment="1">
      <alignment horizontal="left"/>
    </xf>
    <xf numFmtId="0" fontId="0" fillId="0" borderId="20" xfId="0" applyBorder="1"/>
    <xf numFmtId="0" fontId="0" fillId="0" borderId="21" xfId="0" applyBorder="1"/>
    <xf numFmtId="0" fontId="0" fillId="0" borderId="22" xfId="0" applyBorder="1"/>
    <xf numFmtId="0" fontId="1" fillId="0" borderId="6" xfId="0" applyFont="1" applyBorder="1"/>
    <xf numFmtId="0" fontId="0" fillId="0" borderId="23" xfId="0" applyBorder="1"/>
    <xf numFmtId="0" fontId="0" fillId="0" borderId="18" xfId="0" applyBorder="1"/>
    <xf numFmtId="0" fontId="0" fillId="0" borderId="24" xfId="0" applyBorder="1"/>
    <xf numFmtId="0" fontId="1" fillId="0" borderId="10" xfId="0" applyFont="1" applyBorder="1"/>
    <xf numFmtId="0" fontId="1" fillId="0" borderId="25" xfId="0" applyFont="1" applyBorder="1"/>
    <xf numFmtId="0" fontId="1" fillId="0" borderId="26" xfId="0" applyFont="1" applyBorder="1"/>
    <xf numFmtId="0" fontId="1" fillId="0" borderId="27" xfId="0" applyFont="1" applyBorder="1"/>
    <xf numFmtId="0" fontId="12" fillId="4" borderId="2" xfId="0" applyFont="1" applyFill="1" applyBorder="1" applyAlignment="1">
      <alignment vertical="top" wrapText="1"/>
    </xf>
    <xf numFmtId="0" fontId="13" fillId="4" borderId="2" xfId="0" applyFont="1" applyFill="1" applyBorder="1" applyAlignment="1">
      <alignment vertical="top" wrapText="1"/>
    </xf>
    <xf numFmtId="0" fontId="0" fillId="0" borderId="0" xfId="0" applyAlignment="1">
      <alignment vertical="top" wrapText="1"/>
    </xf>
    <xf numFmtId="0" fontId="16" fillId="0" borderId="0" xfId="0" applyFont="1"/>
    <xf numFmtId="0" fontId="17" fillId="6" borderId="0" xfId="0" applyFont="1" applyFill="1" applyAlignment="1">
      <alignment horizontal="center"/>
    </xf>
    <xf numFmtId="0" fontId="16" fillId="0" borderId="7" xfId="0" applyFont="1" applyBorder="1" applyAlignment="1">
      <alignment horizontal="left" indent="1"/>
    </xf>
    <xf numFmtId="0" fontId="17" fillId="6" borderId="7" xfId="0" applyFont="1" applyFill="1" applyBorder="1" applyAlignment="1">
      <alignment horizontal="center"/>
    </xf>
    <xf numFmtId="3" fontId="17" fillId="6" borderId="8" xfId="0" applyNumberFormat="1" applyFont="1" applyFill="1" applyBorder="1" applyAlignment="1">
      <alignment horizontal="center"/>
    </xf>
    <xf numFmtId="0" fontId="16" fillId="0" borderId="3" xfId="0" applyFont="1" applyBorder="1"/>
    <xf numFmtId="0" fontId="17" fillId="6" borderId="5" xfId="0" applyFont="1" applyFill="1" applyBorder="1" applyAlignment="1">
      <alignment horizontal="center"/>
    </xf>
    <xf numFmtId="3" fontId="17" fillId="6" borderId="6" xfId="0" applyNumberFormat="1" applyFont="1" applyFill="1" applyBorder="1" applyAlignment="1">
      <alignment horizontal="center"/>
    </xf>
    <xf numFmtId="0" fontId="16" fillId="0" borderId="11" xfId="0" applyFont="1" applyBorder="1" applyAlignment="1">
      <alignment horizontal="left"/>
    </xf>
    <xf numFmtId="0" fontId="16" fillId="0" borderId="7" xfId="0" applyFont="1" applyBorder="1" applyAlignment="1">
      <alignment horizontal="left"/>
    </xf>
    <xf numFmtId="0" fontId="0" fillId="0" borderId="7" xfId="0" applyBorder="1" applyAlignment="1">
      <alignment wrapText="1"/>
    </xf>
    <xf numFmtId="0" fontId="1" fillId="0" borderId="11" xfId="0" applyFont="1" applyBorder="1" applyAlignment="1">
      <alignment wrapText="1"/>
    </xf>
    <xf numFmtId="0" fontId="0" fillId="0" borderId="0" xfId="0" applyAlignment="1">
      <alignment wrapText="1"/>
    </xf>
    <xf numFmtId="0" fontId="18" fillId="0" borderId="0" xfId="0" applyFont="1"/>
    <xf numFmtId="0" fontId="17" fillId="6" borderId="0" xfId="0" applyFont="1" applyFill="1"/>
    <xf numFmtId="0" fontId="16" fillId="0" borderId="9" xfId="0" applyFont="1" applyBorder="1" applyAlignment="1">
      <alignment horizontal="left" indent="1"/>
    </xf>
    <xf numFmtId="0" fontId="16" fillId="6" borderId="5" xfId="0" applyFont="1" applyFill="1" applyBorder="1" applyAlignment="1">
      <alignment horizontal="center"/>
    </xf>
    <xf numFmtId="0" fontId="16" fillId="6" borderId="0" xfId="0" applyFont="1" applyFill="1" applyAlignment="1">
      <alignment horizontal="center"/>
    </xf>
    <xf numFmtId="0" fontId="3" fillId="2" borderId="0" xfId="0" applyFont="1" applyFill="1"/>
    <xf numFmtId="0" fontId="0" fillId="0" borderId="0" xfId="0"/>
    <xf numFmtId="0" fontId="4" fillId="2" borderId="0" xfId="0" applyFont="1" applyFill="1"/>
    <xf numFmtId="0" fontId="6" fillId="0" borderId="0" xfId="0" applyFont="1" applyAlignment="1">
      <alignment vertical="top" wrapText="1"/>
    </xf>
    <xf numFmtId="0" fontId="8" fillId="0" borderId="0" xfId="0" applyFont="1" applyAlignment="1">
      <alignment vertical="top" wrapText="1"/>
    </xf>
    <xf numFmtId="0" fontId="4" fillId="3" borderId="0" xfId="0" applyFont="1" applyFill="1"/>
    <xf numFmtId="0" fontId="9" fillId="2" borderId="0" xfId="0" applyFont="1" applyFill="1"/>
    <xf numFmtId="0" fontId="4" fillId="5" borderId="0" xfId="0" applyFont="1" applyFill="1"/>
    <xf numFmtId="0" fontId="0" fillId="0" borderId="7" xfId="0" applyBorder="1" applyAlignment="1">
      <alignment wrapText="1"/>
    </xf>
    <xf numFmtId="0" fontId="0" fillId="0" borderId="28" xfId="0" applyBorder="1"/>
    <xf numFmtId="0" fontId="0" fillId="0" borderId="3" xfId="0" applyBorder="1" applyAlignment="1">
      <alignment wrapText="1"/>
    </xf>
    <xf numFmtId="0" fontId="0" fillId="0" borderId="15" xfId="0" applyBorder="1"/>
    <xf numFmtId="0" fontId="0" fillId="0" borderId="29" xfId="0" applyBorder="1"/>
    <xf numFmtId="0" fontId="0" fillId="0" borderId="0" xfId="0" applyAlignment="1">
      <alignment wrapText="1"/>
    </xf>
    <xf numFmtId="0" fontId="15" fillId="0" borderId="0" xfId="0" applyFont="1"/>
    <xf numFmtId="0" fontId="0" fillId="0" borderId="5" xfId="0" applyBorder="1" applyAlignment="1">
      <alignment wrapText="1"/>
    </xf>
    <xf numFmtId="0" fontId="0" fillId="0" borderId="21" xfId="0" applyBorder="1"/>
    <xf numFmtId="0" fontId="0" fillId="0" borderId="22" xfId="0" applyBorder="1"/>
  </cellXfs>
  <cellStyles count="7">
    <cellStyle name="Normal" xfId="0" builtinId="0"/>
    <cellStyle name="Pivot Table Category" xfId="4" xr:uid="{00000000-0005-0000-0000-000009000000}"/>
    <cellStyle name="Pivot Table Corner" xfId="1" xr:uid="{00000000-0005-0000-0000-000006000000}"/>
    <cellStyle name="Pivot Table Field" xfId="3" xr:uid="{00000000-0005-0000-0000-000008000000}"/>
    <cellStyle name="Pivot Table Result" xfId="6" xr:uid="{00000000-0005-0000-0000-00000B000000}"/>
    <cellStyle name="Pivot Table Title" xfId="5" xr:uid="{00000000-0005-0000-0000-00000A000000}"/>
    <cellStyle name="Pivot Table Value" xfId="2" xr:uid="{00000000-0005-0000-0000-000007000000}"/>
  </cellStyles>
  <dxfs count="3">
    <dxf>
      <font>
        <color rgb="FF006100"/>
      </font>
      <fill>
        <patternFill>
          <bgColor rgb="FFC6EFCE"/>
        </patternFill>
      </fill>
    </dxf>
    <dxf>
      <fill>
        <patternFill patternType="solid">
          <fgColor rgb="FFC6EFCE"/>
        </patternFill>
      </fill>
    </dxf>
    <dxf>
      <fill>
        <patternFill patternType="solid">
          <f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4F81BD"/>
      <rgbColor rgb="FF9999FF"/>
      <rgbColor rgb="FFC0504D"/>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BBB59"/>
      <rgbColor rgb="FFFFCC00"/>
      <rgbColor rgb="FFBF8F00"/>
      <rgbColor rgb="FFFF6600"/>
      <rgbColor rgb="FF595959"/>
      <rgbColor rgb="FF969696"/>
      <rgbColor rgb="FF1F3864"/>
      <rgbColor rgb="FF339966"/>
      <rgbColor rgb="FF003300"/>
      <rgbColor rgb="FF333300"/>
      <rgbColor rgb="FF993300"/>
      <rgbColor rgb="FF993366"/>
      <rgbColor rgb="FF2E5395"/>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Total Revenue by Region</a:t>
            </a:r>
          </a:p>
        </c:rich>
      </c:tx>
      <c:overlay val="1"/>
    </c:title>
    <c:autoTitleDeleted val="0"/>
    <c:plotArea>
      <c:layout/>
      <c:barChart>
        <c:barDir val="col"/>
        <c:grouping val="clustered"/>
        <c:varyColors val="1"/>
        <c:ser>
          <c:idx val="0"/>
          <c:order val="0"/>
          <c:tx>
            <c:strRef>
              <c:f>'Pivot Table Workspace'!$B$4</c:f>
              <c:strCache>
                <c:ptCount val="1"/>
                <c:pt idx="0">
                  <c:v>Sum of Sales Amount (PKR)</c:v>
                </c:pt>
              </c:strCache>
            </c:strRef>
          </c:tx>
          <c:spPr>
            <a:ln>
              <a:prstDash val="solid"/>
            </a:ln>
          </c:spPr>
          <c:invertIfNegative val="1"/>
          <c:cat>
            <c:strRef>
              <c:f>'Pivot Table Workspace'!$A$5:$A$9</c:f>
              <c:strCache>
                <c:ptCount val="5"/>
                <c:pt idx="0">
                  <c:v>Karachi</c:v>
                </c:pt>
                <c:pt idx="1">
                  <c:v>Lahore</c:v>
                </c:pt>
                <c:pt idx="2">
                  <c:v>Rawalpindi</c:v>
                </c:pt>
                <c:pt idx="3">
                  <c:v>Faisalabad</c:v>
                </c:pt>
                <c:pt idx="4">
                  <c:v>Islamabad</c:v>
                </c:pt>
              </c:strCache>
            </c:strRef>
          </c:cat>
          <c:val>
            <c:numRef>
              <c:f>'Pivot Table Workspace'!$B$5:$B$9</c:f>
              <c:numCache>
                <c:formatCode>#,##0</c:formatCode>
                <c:ptCount val="5"/>
                <c:pt idx="0" formatCode="General">
                  <c:v>3437870</c:v>
                </c:pt>
                <c:pt idx="1">
                  <c:v>3274590</c:v>
                </c:pt>
                <c:pt idx="2">
                  <c:v>2171000</c:v>
                </c:pt>
                <c:pt idx="3">
                  <c:v>1720950</c:v>
                </c:pt>
                <c:pt idx="4">
                  <c:v>1342420</c:v>
                </c:pt>
              </c:numCache>
            </c:numRef>
          </c:val>
          <c:extLst>
            <c:ext xmlns:c16="http://schemas.microsoft.com/office/drawing/2014/chart" uri="{C3380CC4-5D6E-409C-BE32-E72D297353CC}">
              <c16:uniqueId val="{00000000-1376-46CD-B8D5-7D2A02ED462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Region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Sales Amount (PKR)</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Online Payments Trend: January to June 2026</a:t>
            </a:r>
          </a:p>
        </c:rich>
      </c:tx>
      <c:overlay val="1"/>
    </c:title>
    <c:autoTitleDeleted val="0"/>
    <c:plotArea>
      <c:layout/>
      <c:lineChart>
        <c:grouping val="standard"/>
        <c:varyColors val="1"/>
        <c:ser>
          <c:idx val="0"/>
          <c:order val="0"/>
          <c:tx>
            <c:strRef>
              <c:f>'Pivot Table Workspace'!$D$30</c:f>
              <c:strCache>
                <c:ptCount val="1"/>
                <c:pt idx="0">
                  <c:v>Online</c:v>
                </c:pt>
              </c:strCache>
            </c:strRef>
          </c:tx>
          <c:spPr>
            <a:ln>
              <a:prstDash val="solid"/>
            </a:ln>
          </c:spPr>
          <c:marker>
            <c:symbol val="none"/>
          </c:marker>
          <c:cat>
            <c:strRef>
              <c:f>'Pivot Table Workspace'!$A$31:$A$36</c:f>
              <c:strCache>
                <c:ptCount val="6"/>
                <c:pt idx="0">
                  <c:v>Jan</c:v>
                </c:pt>
                <c:pt idx="1">
                  <c:v>Feb</c:v>
                </c:pt>
                <c:pt idx="2">
                  <c:v>Mar</c:v>
                </c:pt>
                <c:pt idx="3">
                  <c:v>Apr</c:v>
                </c:pt>
                <c:pt idx="4">
                  <c:v>May</c:v>
                </c:pt>
                <c:pt idx="5">
                  <c:v>Jun</c:v>
                </c:pt>
              </c:strCache>
            </c:strRef>
          </c:cat>
          <c:val>
            <c:numRef>
              <c:f>'Pivot Table Workspace'!$D$31:$D$36</c:f>
              <c:numCache>
                <c:formatCode>General</c:formatCode>
                <c:ptCount val="6"/>
                <c:pt idx="0">
                  <c:v>14</c:v>
                </c:pt>
                <c:pt idx="1">
                  <c:v>21</c:v>
                </c:pt>
                <c:pt idx="2">
                  <c:v>34</c:v>
                </c:pt>
                <c:pt idx="3">
                  <c:v>54</c:v>
                </c:pt>
                <c:pt idx="4">
                  <c:v>56</c:v>
                </c:pt>
                <c:pt idx="5">
                  <c:v>55</c:v>
                </c:pt>
              </c:numCache>
            </c:numRef>
          </c:val>
          <c:smooth val="1"/>
          <c:extLst>
            <c:ext xmlns:c16="http://schemas.microsoft.com/office/drawing/2014/chart" uri="{C3380CC4-5D6E-409C-BE32-E72D297353CC}">
              <c16:uniqueId val="{00000000-5D60-4BC3-8E3A-FE1AAFEF428B}"/>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Count of Online Payments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0</xdr:colOff>
      <xdr:row>2</xdr:row>
      <xdr:rowOff>0</xdr:rowOff>
    </xdr:from>
    <xdr:ext cx="5040000" cy="28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19</xdr:row>
      <xdr:rowOff>0</xdr:rowOff>
    </xdr:from>
    <xdr:ext cx="5040000" cy="288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2</xdr:row>
      <xdr:rowOff>0</xdr:rowOff>
    </xdr:from>
    <xdr:ext cx="18135600" cy="7153275"/>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8</xdr:col>
      <xdr:colOff>0</xdr:colOff>
      <xdr:row>24</xdr:row>
      <xdr:rowOff>0</xdr:rowOff>
    </xdr:from>
    <xdr:ext cx="18135600" cy="7153275"/>
    <xdr:pic>
      <xdr:nvPicPr>
        <xdr:cNvPr id="3" name="Image 2" descr="Picture">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957" xr:uid="{00000000-000A-0000-FFFF-FFFF01000000}">
  <cacheSource type="worksheet">
    <worksheetSource ref="A1:K958" sheet="Sales Data"/>
  </cacheSource>
  <cacheFields count="12">
    <cacheField name="Order ID" numFmtId="0">
      <sharedItems count="957">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 v="ORD-10721"/>
        <s v="ORD-10722"/>
        <s v="ORD-10723"/>
        <s v="ORD-10724"/>
        <s v="ORD-10725"/>
        <s v="ORD-10726"/>
        <s v="ORD-10727"/>
        <s v="ORD-10728"/>
        <s v="ORD-10729"/>
        <s v="ORD-10730"/>
        <s v="ORD-10731"/>
        <s v="ORD-10732"/>
        <s v="ORD-10733"/>
        <s v="ORD-10734"/>
        <s v="ORD-10735"/>
        <s v="ORD-10736"/>
        <s v="ORD-10737"/>
        <s v="ORD-10738"/>
        <s v="ORD-10739"/>
        <s v="ORD-10740"/>
        <s v="ORD-10741"/>
        <s v="ORD-10742"/>
        <s v="ORD-10743"/>
        <s v="ORD-10744"/>
        <s v="ORD-10745"/>
        <s v="ORD-10746"/>
        <s v="ORD-10747"/>
        <s v="ORD-10748"/>
        <s v="ORD-10749"/>
        <s v="ORD-10750"/>
        <s v="ORD-10751"/>
        <s v="ORD-10752"/>
        <s v="ORD-10753"/>
        <s v="ORD-10754"/>
        <s v="ORD-10755"/>
        <s v="ORD-10756"/>
        <s v="ORD-10757"/>
        <s v="ORD-10758"/>
        <s v="ORD-10759"/>
        <s v="ORD-10760"/>
        <s v="ORD-10761"/>
        <s v="ORD-10762"/>
        <s v="ORD-10763"/>
        <s v="ORD-10764"/>
        <s v="ORD-10765"/>
        <s v="ORD-10766"/>
        <s v="ORD-10767"/>
        <s v="ORD-10768"/>
        <s v="ORD-10769"/>
        <s v="ORD-10770"/>
        <s v="ORD-10771"/>
        <s v="ORD-10772"/>
        <s v="ORD-10773"/>
        <s v="ORD-10774"/>
        <s v="ORD-10775"/>
        <s v="ORD-10776"/>
        <s v="ORD-10777"/>
        <s v="ORD-10778"/>
        <s v="ORD-10779"/>
        <s v="ORD-10780"/>
        <s v="ORD-10781"/>
        <s v="ORD-10782"/>
        <s v="ORD-10783"/>
        <s v="ORD-10784"/>
        <s v="ORD-10785"/>
        <s v="ORD-10786"/>
        <s v="ORD-10787"/>
        <s v="ORD-10788"/>
        <s v="ORD-10789"/>
        <s v="ORD-10790"/>
        <s v="ORD-10791"/>
        <s v="ORD-10792"/>
        <s v="ORD-10793"/>
        <s v="ORD-10794"/>
        <s v="ORD-10795"/>
        <s v="ORD-10796"/>
        <s v="ORD-10797"/>
        <s v="ORD-10798"/>
        <s v="ORD-10799"/>
        <s v="ORD-10800"/>
        <s v="ORD-10801"/>
        <s v="ORD-10802"/>
        <s v="ORD-10803"/>
        <s v="ORD-10804"/>
        <s v="ORD-10805"/>
        <s v="ORD-10806"/>
        <s v="ORD-10807"/>
        <s v="ORD-10808"/>
        <s v="ORD-10809"/>
        <s v="ORD-10810"/>
        <s v="ORD-10811"/>
        <s v="ORD-10812"/>
        <s v="ORD-10813"/>
        <s v="ORD-10814"/>
        <s v="ORD-10815"/>
        <s v="ORD-10816"/>
        <s v="ORD-10817"/>
        <s v="ORD-10818"/>
        <s v="ORD-10819"/>
        <s v="ORD-10820"/>
        <s v="ORD-10821"/>
        <s v="ORD-10822"/>
        <s v="ORD-10823"/>
        <s v="ORD-10824"/>
        <s v="ORD-10825"/>
        <s v="ORD-10826"/>
        <s v="ORD-10827"/>
        <s v="ORD-10828"/>
        <s v="ORD-10829"/>
        <s v="ORD-10830"/>
        <s v="ORD-10831"/>
        <s v="ORD-10832"/>
        <s v="ORD-10833"/>
        <s v="ORD-10834"/>
        <s v="ORD-10835"/>
        <s v="ORD-10836"/>
        <s v="ORD-10837"/>
        <s v="ORD-10838"/>
        <s v="ORD-10839"/>
        <s v="ORD-10840"/>
        <s v="ORD-10841"/>
        <s v="ORD-10842"/>
        <s v="ORD-10843"/>
        <s v="ORD-10844"/>
        <s v="ORD-10845"/>
        <s v="ORD-10846"/>
        <s v="ORD-10847"/>
        <s v="ORD-10848"/>
        <s v="ORD-10849"/>
        <s v="ORD-10850"/>
        <s v="ORD-10851"/>
        <s v="ORD-10852"/>
        <s v="ORD-10853"/>
        <s v="ORD-10854"/>
        <s v="ORD-10855"/>
        <s v="ORD-10856"/>
        <s v="ORD-10857"/>
        <s v="ORD-10858"/>
        <s v="ORD-10859"/>
        <s v="ORD-10860"/>
        <s v="ORD-10861"/>
        <s v="ORD-10862"/>
        <s v="ORD-10863"/>
        <s v="ORD-10864"/>
        <s v="ORD-10865"/>
        <s v="ORD-10866"/>
        <s v="ORD-10867"/>
        <s v="ORD-10868"/>
        <s v="ORD-10869"/>
        <s v="ORD-10870"/>
        <s v="ORD-10871"/>
        <s v="ORD-10872"/>
        <s v="ORD-10873"/>
        <s v="ORD-10874"/>
        <s v="ORD-10875"/>
        <s v="ORD-10876"/>
        <s v="ORD-10877"/>
        <s v="ORD-10878"/>
        <s v="ORD-10879"/>
        <s v="ORD-10880"/>
        <s v="ORD-10881"/>
        <s v="ORD-10882"/>
        <s v="ORD-10883"/>
        <s v="ORD-10884"/>
        <s v="ORD-10885"/>
        <s v="ORD-10886"/>
        <s v="ORD-10887"/>
        <s v="ORD-10888"/>
        <s v="ORD-10889"/>
        <s v="ORD-10890"/>
        <s v="ORD-10891"/>
        <s v="ORD-10892"/>
        <s v="ORD-10893"/>
        <s v="ORD-10894"/>
        <s v="ORD-10895"/>
        <s v="ORD-10896"/>
        <s v="ORD-10897"/>
        <s v="ORD-10898"/>
        <s v="ORD-10899"/>
        <s v="ORD-10900"/>
        <s v="ORD-10901"/>
        <s v="ORD-10902"/>
        <s v="ORD-10903"/>
        <s v="ORD-10904"/>
        <s v="ORD-10905"/>
        <s v="ORD-10906"/>
        <s v="ORD-10907"/>
        <s v="ORD-10908"/>
        <s v="ORD-10909"/>
        <s v="ORD-10910"/>
        <s v="ORD-10911"/>
        <s v="ORD-10912"/>
        <s v="ORD-10913"/>
        <s v="ORD-10914"/>
        <s v="ORD-10915"/>
        <s v="ORD-10916"/>
        <s v="ORD-10917"/>
        <s v="ORD-10918"/>
        <s v="ORD-10919"/>
        <s v="ORD-10920"/>
        <s v="ORD-10921"/>
        <s v="ORD-10922"/>
        <s v="ORD-10923"/>
        <s v="ORD-10924"/>
        <s v="ORD-10925"/>
        <s v="ORD-10926"/>
        <s v="ORD-10927"/>
        <s v="ORD-10928"/>
        <s v="ORD-10929"/>
        <s v="ORD-10930"/>
        <s v="ORD-10931"/>
        <s v="ORD-10932"/>
        <s v="ORD-10933"/>
        <s v="ORD-10934"/>
        <s v="ORD-10935"/>
        <s v="ORD-10936"/>
        <s v="ORD-10937"/>
        <s v="ORD-10938"/>
        <s v="ORD-10939"/>
        <s v="ORD-10940"/>
        <s v="ORD-10941"/>
        <s v="ORD-10942"/>
        <s v="ORD-10943"/>
        <s v="ORD-10944"/>
        <s v="ORD-10945"/>
        <s v="ORD-10946"/>
        <s v="ORD-10947"/>
        <s v="ORD-10948"/>
        <s v="ORD-10949"/>
        <s v="ORD-10950"/>
        <s v="ORD-10951"/>
        <s v="ORD-10952"/>
        <s v="ORD-10953"/>
        <s v="ORD-10954"/>
        <s v="ORD-10955"/>
        <s v="ORD-10956"/>
        <s v="ORD-10957"/>
      </sharedItems>
    </cacheField>
    <cacheField name="Date" numFmtId="0">
      <sharedItems count="181">
        <s v="2026-01-01"/>
        <s v="2026-01-02"/>
        <s v="2026-01-03"/>
        <s v="2026-01-04"/>
        <s v="2026-01-05"/>
        <s v="2026-01-06"/>
        <s v="2026-01-07"/>
        <s v="2026-01-08"/>
        <s v="2026-01-09"/>
        <s v="2026-01-10"/>
        <s v="2026-01-11"/>
        <s v="2026-01-12"/>
        <s v="2026-01-13"/>
        <s v="2026-01-14"/>
        <s v="2026-01-15"/>
        <s v="2026-01-16"/>
        <s v="2026-01-17"/>
        <s v="2026-01-18"/>
        <s v="2026-01-19"/>
        <s v="2026-01-20"/>
        <s v="2026-01-21"/>
        <s v="2026-01-22"/>
        <s v="2026-01-23"/>
        <s v="2026-01-24"/>
        <s v="2026-01-25"/>
        <s v="2026-01-26"/>
        <s v="2026-01-27"/>
        <s v="2026-01-28"/>
        <s v="2026-01-29"/>
        <s v="2026-01-30"/>
        <s v="2026-01-31"/>
        <s v="2026-02-01"/>
        <s v="2026-02-02"/>
        <s v="2026-02-03"/>
        <s v="2026-02-04"/>
        <s v="2026-02-05"/>
        <s v="2026-02-06"/>
        <s v="2026-02-07"/>
        <s v="2026-02-08"/>
        <s v="2026-02-09"/>
        <s v="2026-02-10"/>
        <s v="2026-02-11"/>
        <s v="2026-02-12"/>
        <s v="2026-02-13"/>
        <s v="2026-02-14"/>
        <s v="2026-02-15"/>
        <s v="2026-02-16"/>
        <s v="2026-02-17"/>
        <s v="2026-02-18"/>
        <s v="2026-02-19"/>
        <s v="2026-02-20"/>
        <s v="2026-02-21"/>
        <s v="2026-02-22"/>
        <s v="2026-02-23"/>
        <s v="2026-02-24"/>
        <s v="2026-02-25"/>
        <s v="2026-02-26"/>
        <s v="2026-02-27"/>
        <s v="2026-02-28"/>
        <s v="2026-03-01"/>
        <s v="2026-03-02"/>
        <s v="2026-03-03"/>
        <s v="2026-03-04"/>
        <s v="2026-03-05"/>
        <s v="2026-03-06"/>
        <s v="2026-03-07"/>
        <s v="2026-03-08"/>
        <s v="2026-03-09"/>
        <s v="2026-03-10"/>
        <s v="2026-03-11"/>
        <s v="2026-03-12"/>
        <s v="2026-03-13"/>
        <s v="2026-03-14"/>
        <s v="2026-03-15"/>
        <s v="2026-03-16"/>
        <s v="2026-03-17"/>
        <s v="2026-03-18"/>
        <s v="2026-03-19"/>
        <s v="2026-03-20"/>
        <s v="2026-03-21"/>
        <s v="2026-03-22"/>
        <s v="2026-03-23"/>
        <s v="2026-03-24"/>
        <s v="2026-03-25"/>
        <s v="2026-03-26"/>
        <s v="2026-03-27"/>
        <s v="2026-03-28"/>
        <s v="2026-03-29"/>
        <s v="2026-03-30"/>
        <s v="2026-03-31"/>
        <s v="2026-04-01"/>
        <s v="2026-04-02"/>
        <s v="2026-04-03"/>
        <s v="2026-04-04"/>
        <s v="2026-04-05"/>
        <s v="2026-04-06"/>
        <s v="2026-04-07"/>
        <s v="2026-04-08"/>
        <s v="2026-04-09"/>
        <s v="2026-04-10"/>
        <s v="2026-04-11"/>
        <s v="2026-04-12"/>
        <s v="2026-04-13"/>
        <s v="2026-04-14"/>
        <s v="2026-04-15"/>
        <s v="2026-04-16"/>
        <s v="2026-04-17"/>
        <s v="2026-04-18"/>
        <s v="2026-04-19"/>
        <s v="2026-04-20"/>
        <s v="2026-04-21"/>
        <s v="2026-04-22"/>
        <s v="2026-04-23"/>
        <s v="2026-04-24"/>
        <s v="2026-04-25"/>
        <s v="2026-04-26"/>
        <s v="2026-04-27"/>
        <s v="2026-04-28"/>
        <s v="2026-04-29"/>
        <s v="2026-04-30"/>
        <s v="2026-05-01"/>
        <s v="2026-05-02"/>
        <s v="2026-05-03"/>
        <s v="2026-05-04"/>
        <s v="2026-05-05"/>
        <s v="2026-05-06"/>
        <s v="2026-05-07"/>
        <s v="2026-05-08"/>
        <s v="2026-05-09"/>
        <s v="2026-05-10"/>
        <s v="2026-05-11"/>
        <s v="2026-05-12"/>
        <s v="2026-05-13"/>
        <s v="2026-05-14"/>
        <s v="2026-05-15"/>
        <s v="2026-05-16"/>
        <s v="2026-05-17"/>
        <s v="2026-05-18"/>
        <s v="2026-05-19"/>
        <s v="2026-05-20"/>
        <s v="2026-05-21"/>
        <s v="2026-05-22"/>
        <s v="2026-05-23"/>
        <s v="2026-05-24"/>
        <s v="2026-05-25"/>
        <s v="2026-05-26"/>
        <s v="2026-05-27"/>
        <s v="2026-05-28"/>
        <s v="2026-05-29"/>
        <s v="2026-05-30"/>
        <s v="2026-05-31"/>
        <s v="2026-06-01"/>
        <s v="2026-06-02"/>
        <s v="2026-06-03"/>
        <s v="2026-06-04"/>
        <s v="2026-06-05"/>
        <s v="2026-06-06"/>
        <s v="2026-06-07"/>
        <s v="2026-06-08"/>
        <s v="2026-06-09"/>
        <s v="2026-06-10"/>
        <s v="2026-06-11"/>
        <s v="2026-06-12"/>
        <s v="2026-06-13"/>
        <s v="2026-06-14"/>
        <s v="2026-06-15"/>
        <s v="2026-06-16"/>
        <s v="2026-06-17"/>
        <s v="2026-06-18"/>
        <s v="2026-06-19"/>
        <s v="2026-06-20"/>
        <s v="2026-06-21"/>
        <s v="2026-06-22"/>
        <s v="2026-06-23"/>
        <s v="2026-06-24"/>
        <s v="2026-06-25"/>
        <s v="2026-06-26"/>
        <s v="2026-06-27"/>
        <s v="2026-06-28"/>
        <s v="2026-06-29"/>
        <s v="2026-06-30"/>
      </sharedItems>
    </cacheField>
    <cacheField name="Region" numFmtId="0">
      <sharedItems count="5">
        <s v="Faisalabad"/>
        <s v="Islamabad"/>
        <s v="Karachi"/>
        <s v="Lahore"/>
        <s v="Rawalpindi"/>
      </sharedItems>
    </cacheField>
    <cacheField name="Category" numFmtId="0">
      <sharedItems count="5">
        <s v="Clothing"/>
        <s v="Electronics"/>
        <s v="Footwear"/>
        <s v="Groceries"/>
        <s v="Home Appliances"/>
      </sharedItems>
    </cacheField>
    <cacheField name="Product" numFmtId="0">
      <sharedItems count="24">
        <s v="Air Fryer"/>
        <s v="Blender"/>
        <s v="Bluetooth Speaker"/>
        <s v="Cooking Oil 5L"/>
        <s v="Dates Pack"/>
        <s v="Flour 10kg Bag"/>
        <s v="Formal Shirt"/>
        <s v="Formal Shoes"/>
        <s v="Iron"/>
        <s v="Jeans"/>
        <s v="Kids Shoes"/>
        <s v="Kids Wear Set"/>
        <s v="Laptop"/>
        <s v="LED TV 43&quot;"/>
        <s v="Men's Kurta"/>
        <s v="Microwave Oven"/>
        <s v="Rice 10kg Bag"/>
        <s v="Sandals"/>
        <s v="Smartphone"/>
        <s v="Sports Shoes"/>
        <s v="Tea Pack"/>
        <s v="Vacuum Cleaner"/>
        <s v="Water Dispenser"/>
        <s v="Women's Lawn Suit"/>
      </sharedItems>
    </cacheField>
    <cacheField name="Salesperson" numFmtId="0">
      <sharedItems count="10">
        <s v="Ayesha Khan"/>
        <s v="Bilal Ahmed"/>
        <s v="Farah Siddiqui"/>
        <s v="Hassan Raza"/>
        <s v="Mehwish Iqbal"/>
        <s v="Nabeel Shah"/>
        <s v="Omar Farooq"/>
        <s v="Sana Tariq"/>
        <s v="Usman Ali"/>
        <s v="Zara Sheikh"/>
      </sharedItems>
    </cacheField>
    <cacheField name="Units Sold" numFmtId="0">
      <sharedItems containsSemiMixedTypes="0" containsString="0" containsNumber="1" containsInteger="1" minValue="1" maxValue="4" count="4">
        <n v="1"/>
        <n v="2"/>
        <n v="3"/>
        <n v="4"/>
      </sharedItems>
    </cacheField>
    <cacheField name="Unit Price (PKR)" numFmtId="0">
      <sharedItems containsSemiMixedTypes="0" containsString="0" containsNumber="1" containsInteger="1" minValue="910" maxValue="98530" count="441">
        <n v="910"/>
        <n v="920"/>
        <n v="930"/>
        <n v="940"/>
        <n v="950"/>
        <n v="960"/>
        <n v="970"/>
        <n v="980"/>
        <n v="990"/>
        <n v="1150"/>
        <n v="1160"/>
        <n v="1170"/>
        <n v="1180"/>
        <n v="1190"/>
        <n v="1200"/>
        <n v="1210"/>
        <n v="1220"/>
        <n v="1230"/>
        <n v="1240"/>
        <n v="1250"/>
        <n v="1440"/>
        <n v="1450"/>
        <n v="1460"/>
        <n v="1470"/>
        <n v="1480"/>
        <n v="1490"/>
        <n v="1500"/>
        <n v="1510"/>
        <n v="1520"/>
        <n v="1530"/>
        <n v="1540"/>
        <n v="1550"/>
        <n v="1560"/>
        <n v="1570"/>
        <n v="1580"/>
        <n v="1590"/>
        <n v="1600"/>
        <n v="1610"/>
        <n v="1620"/>
        <n v="1630"/>
        <n v="1640"/>
        <n v="1650"/>
        <n v="1660"/>
        <n v="1730"/>
        <n v="1740"/>
        <n v="1750"/>
        <n v="1760"/>
        <n v="1770"/>
        <n v="1780"/>
        <n v="1790"/>
        <n v="1800"/>
        <n v="1810"/>
        <n v="1820"/>
        <n v="1830"/>
        <n v="1840"/>
        <n v="1850"/>
        <n v="1860"/>
        <n v="1870"/>
        <n v="1880"/>
        <n v="1890"/>
        <n v="1900"/>
        <n v="1910"/>
        <n v="1920"/>
        <n v="1940"/>
        <n v="1950"/>
        <n v="1960"/>
        <n v="1970"/>
        <n v="2020"/>
        <n v="2030"/>
        <n v="2040"/>
        <n v="2050"/>
        <n v="2060"/>
        <n v="2080"/>
        <n v="2090"/>
        <n v="2100"/>
        <n v="2110"/>
        <n v="2120"/>
        <n v="2130"/>
        <n v="2140"/>
        <n v="2150"/>
        <n v="2160"/>
        <n v="2170"/>
        <n v="2180"/>
        <n v="2190"/>
        <n v="2200"/>
        <n v="2210"/>
        <n v="2220"/>
        <n v="2230"/>
        <n v="2240"/>
        <n v="2250"/>
        <n v="2260"/>
        <n v="2270"/>
        <n v="2280"/>
        <n v="2290"/>
        <n v="2310"/>
        <n v="2320"/>
        <n v="2330"/>
        <n v="2340"/>
        <n v="2350"/>
        <n v="2360"/>
        <n v="2370"/>
        <n v="2380"/>
        <n v="2390"/>
        <n v="2400"/>
        <n v="2410"/>
        <n v="2420"/>
        <n v="2430"/>
        <n v="2440"/>
        <n v="2450"/>
        <n v="2460"/>
        <n v="2470"/>
        <n v="2480"/>
        <n v="2490"/>
        <n v="2500"/>
        <n v="2510"/>
        <n v="2520"/>
        <n v="2530"/>
        <n v="2540"/>
        <n v="2560"/>
        <n v="2570"/>
        <n v="2580"/>
        <n v="2600"/>
        <n v="2610"/>
        <n v="2620"/>
        <n v="2630"/>
        <n v="2640"/>
        <n v="2650"/>
        <n v="2670"/>
        <n v="2690"/>
        <n v="2700"/>
        <n v="2710"/>
        <n v="2720"/>
        <n v="2730"/>
        <n v="2740"/>
        <n v="2760"/>
        <n v="2770"/>
        <n v="2780"/>
        <n v="2790"/>
        <n v="2800"/>
        <n v="2810"/>
        <n v="2830"/>
        <n v="2840"/>
        <n v="2850"/>
        <n v="2860"/>
        <n v="2870"/>
        <n v="2880"/>
        <n v="2900"/>
        <n v="2980"/>
        <n v="3000"/>
        <n v="3010"/>
        <n v="3020"/>
        <n v="3040"/>
        <n v="3050"/>
        <n v="3060"/>
        <n v="3070"/>
        <n v="3080"/>
        <n v="3090"/>
        <n v="3100"/>
        <n v="3120"/>
        <n v="3130"/>
        <n v="3150"/>
        <n v="3160"/>
        <n v="3170"/>
        <n v="3180"/>
        <n v="3190"/>
        <n v="3200"/>
        <n v="3210"/>
        <n v="3220"/>
        <n v="3230"/>
        <n v="3240"/>
        <n v="3250"/>
        <n v="3270"/>
        <n v="3280"/>
        <n v="3290"/>
        <n v="3300"/>
        <n v="3310"/>
        <n v="3380"/>
        <n v="3390"/>
        <n v="3400"/>
        <n v="3420"/>
        <n v="3440"/>
        <n v="3450"/>
        <n v="3470"/>
        <n v="3490"/>
        <n v="3500"/>
        <n v="3510"/>
        <n v="3520"/>
        <n v="3530"/>
        <n v="3540"/>
        <n v="3550"/>
        <n v="3560"/>
        <n v="3570"/>
        <n v="3580"/>
        <n v="3590"/>
        <n v="3630"/>
        <n v="3660"/>
        <n v="3670"/>
        <n v="3680"/>
        <n v="3690"/>
        <n v="3720"/>
        <n v="3730"/>
        <n v="3740"/>
        <n v="3760"/>
        <n v="3770"/>
        <n v="3780"/>
        <n v="3810"/>
        <n v="3820"/>
        <n v="3830"/>
        <n v="3840"/>
        <n v="3850"/>
        <n v="3860"/>
        <n v="3870"/>
        <n v="3890"/>
        <n v="3900"/>
        <n v="3910"/>
        <n v="3930"/>
        <n v="3940"/>
        <n v="3950"/>
        <n v="4050"/>
        <n v="4060"/>
        <n v="4080"/>
        <n v="4110"/>
        <n v="4120"/>
        <n v="4130"/>
        <n v="4150"/>
        <n v="4160"/>
        <n v="4170"/>
        <n v="4180"/>
        <n v="4190"/>
        <n v="4200"/>
        <n v="4210"/>
        <n v="4230"/>
        <n v="4240"/>
        <n v="4250"/>
        <n v="4280"/>
        <n v="4290"/>
        <n v="4300"/>
        <n v="4320"/>
        <n v="4330"/>
        <n v="4340"/>
        <n v="4360"/>
        <n v="4370"/>
        <n v="4390"/>
        <n v="4400"/>
        <n v="4410"/>
        <n v="4420"/>
        <n v="4430"/>
        <n v="4450"/>
        <n v="4470"/>
        <n v="4500"/>
        <n v="4530"/>
        <n v="4540"/>
        <n v="4560"/>
        <n v="4580"/>
        <n v="4600"/>
        <n v="4610"/>
        <n v="4620"/>
        <n v="4640"/>
        <n v="4650"/>
        <n v="4680"/>
        <n v="11530"/>
        <n v="11560"/>
        <n v="11610"/>
        <n v="11670"/>
        <n v="11730"/>
        <n v="11770"/>
        <n v="11780"/>
        <n v="11820"/>
        <n v="11830"/>
        <n v="11840"/>
        <n v="11850"/>
        <n v="11910"/>
        <n v="11980"/>
        <n v="11990"/>
        <n v="12010"/>
        <n v="12020"/>
        <n v="12030"/>
        <n v="12060"/>
        <n v="12080"/>
        <n v="12120"/>
        <n v="12130"/>
        <n v="12250"/>
        <n v="12260"/>
        <n v="12360"/>
        <n v="12970"/>
        <n v="12980"/>
        <n v="12990"/>
        <n v="13050"/>
        <n v="13090"/>
        <n v="13130"/>
        <n v="13140"/>
        <n v="13150"/>
        <n v="13160"/>
        <n v="13190"/>
        <n v="13210"/>
        <n v="13260"/>
        <n v="13340"/>
        <n v="13370"/>
        <n v="13530"/>
        <n v="13540"/>
        <n v="13700"/>
        <n v="13720"/>
        <n v="13820"/>
        <n v="13840"/>
        <n v="13900"/>
        <n v="13960"/>
        <n v="14000"/>
        <n v="14010"/>
        <n v="14020"/>
        <n v="14910"/>
        <n v="14950"/>
        <n v="14960"/>
        <n v="15010"/>
        <n v="15020"/>
        <n v="15050"/>
        <n v="15060"/>
        <n v="15070"/>
        <n v="15120"/>
        <n v="15140"/>
        <n v="15160"/>
        <n v="15190"/>
        <n v="15270"/>
        <n v="15310"/>
        <n v="15330"/>
        <n v="15350"/>
        <n v="15420"/>
        <n v="15460"/>
        <n v="15500"/>
        <n v="15530"/>
        <n v="15550"/>
        <n v="15630"/>
        <n v="15670"/>
        <n v="15690"/>
        <n v="15710"/>
        <n v="15750"/>
        <n v="15780"/>
        <n v="15790"/>
        <n v="15820"/>
        <n v="15860"/>
        <n v="15970"/>
        <n v="17780"/>
        <n v="17900"/>
        <n v="17910"/>
        <n v="17940"/>
        <n v="18030"/>
        <n v="18110"/>
        <n v="18130"/>
        <n v="18270"/>
        <n v="18280"/>
        <n v="18290"/>
        <n v="18350"/>
        <n v="18370"/>
        <n v="18430"/>
        <n v="18490"/>
        <n v="18510"/>
        <n v="18570"/>
        <n v="18580"/>
        <n v="18590"/>
        <n v="18700"/>
        <n v="18750"/>
        <n v="18810"/>
        <n v="18840"/>
        <n v="18950"/>
        <n v="18960"/>
        <n v="18980"/>
        <n v="19000"/>
        <n v="19190"/>
        <n v="40630"/>
        <n v="40730"/>
        <n v="40950"/>
        <n v="41030"/>
        <n v="41240"/>
        <n v="41440"/>
        <n v="41610"/>
        <n v="41730"/>
        <n v="41740"/>
        <n v="41910"/>
        <n v="42030"/>
        <n v="42200"/>
        <n v="42210"/>
        <n v="42300"/>
        <n v="42620"/>
        <n v="42640"/>
        <n v="42750"/>
        <n v="42840"/>
        <n v="42860"/>
        <n v="42940"/>
        <n v="42960"/>
        <n v="42990"/>
        <n v="43000"/>
        <n v="43090"/>
        <n v="43220"/>
        <n v="43380"/>
        <n v="43410"/>
        <n v="43470"/>
        <n v="43570"/>
        <n v="43640"/>
        <n v="52910"/>
        <n v="53360"/>
        <n v="53720"/>
        <n v="53950"/>
        <n v="53970"/>
        <n v="54100"/>
        <n v="54230"/>
        <n v="54570"/>
        <n v="54720"/>
        <n v="55250"/>
        <n v="55490"/>
        <n v="55520"/>
        <n v="55720"/>
        <n v="55900"/>
        <n v="55990"/>
        <n v="56140"/>
        <n v="56300"/>
        <n v="56730"/>
        <n v="56750"/>
        <n v="56790"/>
        <n v="56920"/>
        <n v="56960"/>
        <n v="57040"/>
        <n v="91570"/>
        <n v="91980"/>
        <n v="92190"/>
        <n v="92460"/>
        <n v="92930"/>
        <n v="93160"/>
        <n v="93310"/>
        <n v="93450"/>
        <n v="94620"/>
        <n v="95130"/>
        <n v="95350"/>
        <n v="95430"/>
        <n v="95560"/>
        <n v="95880"/>
        <n v="95890"/>
        <n v="96890"/>
        <n v="97750"/>
        <n v="98120"/>
        <n v="98150"/>
        <n v="98330"/>
        <n v="98530"/>
      </sharedItems>
    </cacheField>
    <cacheField name="Sales Amount (PKR)" numFmtId="0">
      <sharedItems containsSemiMixedTypes="0" containsString="0" containsNumber="1" containsInteger="1" minValue="910" maxValue="382240" count="522">
        <n v="910"/>
        <n v="920"/>
        <n v="930"/>
        <n v="940"/>
        <n v="950"/>
        <n v="960"/>
        <n v="970"/>
        <n v="980"/>
        <n v="990"/>
        <n v="1150"/>
        <n v="1160"/>
        <n v="1170"/>
        <n v="1180"/>
        <n v="1190"/>
        <n v="1200"/>
        <n v="1210"/>
        <n v="1220"/>
        <n v="1230"/>
        <n v="1240"/>
        <n v="1250"/>
        <n v="1450"/>
        <n v="1460"/>
        <n v="1470"/>
        <n v="1480"/>
        <n v="1490"/>
        <n v="1500"/>
        <n v="1510"/>
        <n v="1520"/>
        <n v="1530"/>
        <n v="1540"/>
        <n v="1550"/>
        <n v="1560"/>
        <n v="1570"/>
        <n v="1580"/>
        <n v="1590"/>
        <n v="1600"/>
        <n v="1610"/>
        <n v="1620"/>
        <n v="1630"/>
        <n v="1640"/>
        <n v="1650"/>
        <n v="1660"/>
        <n v="1730"/>
        <n v="1740"/>
        <n v="1750"/>
        <n v="1760"/>
        <n v="1780"/>
        <n v="1790"/>
        <n v="1800"/>
        <n v="1810"/>
        <n v="1820"/>
        <n v="1830"/>
        <n v="1840"/>
        <n v="1850"/>
        <n v="1860"/>
        <n v="1870"/>
        <n v="1880"/>
        <n v="1890"/>
        <n v="1900"/>
        <n v="1910"/>
        <n v="1920"/>
        <n v="1940"/>
        <n v="1950"/>
        <n v="1960"/>
        <n v="1970"/>
        <n v="2020"/>
        <n v="2030"/>
        <n v="2040"/>
        <n v="2050"/>
        <n v="2080"/>
        <n v="2090"/>
        <n v="2100"/>
        <n v="2110"/>
        <n v="2120"/>
        <n v="2130"/>
        <n v="2140"/>
        <n v="2150"/>
        <n v="2160"/>
        <n v="2170"/>
        <n v="2180"/>
        <n v="2190"/>
        <n v="2210"/>
        <n v="2220"/>
        <n v="2230"/>
        <n v="2240"/>
        <n v="2250"/>
        <n v="2260"/>
        <n v="2270"/>
        <n v="2280"/>
        <n v="2290"/>
        <n v="2310"/>
        <n v="2320"/>
        <n v="2330"/>
        <n v="2340"/>
        <n v="2350"/>
        <n v="2360"/>
        <n v="2380"/>
        <n v="2390"/>
        <n v="2400"/>
        <n v="2410"/>
        <n v="2420"/>
        <n v="2430"/>
        <n v="2440"/>
        <n v="2450"/>
        <n v="2460"/>
        <n v="2480"/>
        <n v="2490"/>
        <n v="2500"/>
        <n v="2510"/>
        <n v="2530"/>
        <n v="2540"/>
        <n v="2570"/>
        <n v="2580"/>
        <n v="2600"/>
        <n v="2610"/>
        <n v="2620"/>
        <n v="2630"/>
        <n v="2640"/>
        <n v="2650"/>
        <n v="2670"/>
        <n v="2690"/>
        <n v="2700"/>
        <n v="2710"/>
        <n v="2730"/>
        <n v="2740"/>
        <n v="2760"/>
        <n v="2770"/>
        <n v="2780"/>
        <n v="2790"/>
        <n v="2800"/>
        <n v="2810"/>
        <n v="2830"/>
        <n v="2840"/>
        <n v="2850"/>
        <n v="2870"/>
        <n v="2880"/>
        <n v="2900"/>
        <n v="2940"/>
        <n v="2980"/>
        <n v="3000"/>
        <n v="3010"/>
        <n v="3020"/>
        <n v="3040"/>
        <n v="3050"/>
        <n v="3060"/>
        <n v="3070"/>
        <n v="3080"/>
        <n v="3090"/>
        <n v="3100"/>
        <n v="3120"/>
        <n v="3130"/>
        <n v="3150"/>
        <n v="3160"/>
        <n v="3170"/>
        <n v="3180"/>
        <n v="3190"/>
        <n v="3200"/>
        <n v="3210"/>
        <n v="3220"/>
        <n v="3230"/>
        <n v="3240"/>
        <n v="3250"/>
        <n v="3270"/>
        <n v="3280"/>
        <n v="3290"/>
        <n v="3300"/>
        <n v="3310"/>
        <n v="3390"/>
        <n v="3420"/>
        <n v="3440"/>
        <n v="3470"/>
        <n v="3480"/>
        <n v="3490"/>
        <n v="3500"/>
        <n v="3510"/>
        <n v="3530"/>
        <n v="3540"/>
        <n v="3570"/>
        <n v="3580"/>
        <n v="3590"/>
        <n v="3630"/>
        <n v="3640"/>
        <n v="3660"/>
        <n v="3670"/>
        <n v="3680"/>
        <n v="3700"/>
        <n v="3720"/>
        <n v="3730"/>
        <n v="3740"/>
        <n v="3760"/>
        <n v="3770"/>
        <n v="3780"/>
        <n v="3800"/>
        <n v="3820"/>
        <n v="3830"/>
        <n v="3840"/>
        <n v="3850"/>
        <n v="3860"/>
        <n v="3890"/>
        <n v="3920"/>
        <n v="3930"/>
        <n v="3940"/>
        <n v="3950"/>
        <n v="4050"/>
        <n v="4060"/>
        <n v="4080"/>
        <n v="4100"/>
        <n v="4120"/>
        <n v="4130"/>
        <n v="4150"/>
        <n v="4160"/>
        <n v="4170"/>
        <n v="4180"/>
        <n v="4190"/>
        <n v="4200"/>
        <n v="4210"/>
        <n v="4220"/>
        <n v="4230"/>
        <n v="4240"/>
        <n v="4250"/>
        <n v="4260"/>
        <n v="4280"/>
        <n v="4290"/>
        <n v="4300"/>
        <n v="4320"/>
        <n v="4330"/>
        <n v="4340"/>
        <n v="4360"/>
        <n v="4370"/>
        <n v="4380"/>
        <n v="4390"/>
        <n v="4400"/>
        <n v="4410"/>
        <n v="4420"/>
        <n v="4430"/>
        <n v="4450"/>
        <n v="4500"/>
        <n v="4520"/>
        <n v="4540"/>
        <n v="4560"/>
        <n v="4580"/>
        <n v="4600"/>
        <n v="4610"/>
        <n v="4620"/>
        <n v="4640"/>
        <n v="4680"/>
        <n v="4720"/>
        <n v="4740"/>
        <n v="4860"/>
        <n v="4960"/>
        <n v="4980"/>
        <n v="5000"/>
        <n v="5020"/>
        <n v="5040"/>
        <n v="5060"/>
        <n v="5120"/>
        <n v="5220"/>
        <n v="5250"/>
        <n v="5380"/>
        <n v="5400"/>
        <n v="5440"/>
        <n v="5460"/>
        <n v="5480"/>
        <n v="5520"/>
        <n v="5560"/>
        <n v="5580"/>
        <n v="5700"/>
        <n v="5720"/>
        <n v="6000"/>
        <n v="6040"/>
        <n v="6140"/>
        <n v="6200"/>
        <n v="6240"/>
        <n v="6260"/>
        <n v="6280"/>
        <n v="6300"/>
        <n v="6330"/>
        <n v="6340"/>
        <n v="6360"/>
        <n v="6390"/>
        <n v="6400"/>
        <n v="6440"/>
        <n v="6460"/>
        <n v="6500"/>
        <n v="6560"/>
        <n v="6600"/>
        <n v="6760"/>
        <n v="6780"/>
        <n v="6800"/>
        <n v="6900"/>
        <n v="6980"/>
        <n v="7040"/>
        <n v="7100"/>
        <n v="7120"/>
        <n v="7140"/>
        <n v="7180"/>
        <n v="7380"/>
        <n v="7400"/>
        <n v="7410"/>
        <n v="7440"/>
        <n v="7560"/>
        <n v="7740"/>
        <n v="7880"/>
        <n v="7950"/>
        <n v="8100"/>
        <n v="8120"/>
        <n v="8160"/>
        <n v="8240"/>
        <n v="8320"/>
        <n v="8340"/>
        <n v="8420"/>
        <n v="8460"/>
        <n v="8640"/>
        <n v="8680"/>
        <n v="8800"/>
        <n v="9060"/>
        <n v="9080"/>
        <n v="9300"/>
        <n v="9390"/>
        <n v="10650"/>
        <n v="11160"/>
        <n v="11280"/>
        <n v="11530"/>
        <n v="11560"/>
        <n v="11610"/>
        <n v="11670"/>
        <n v="11700"/>
        <n v="11730"/>
        <n v="11770"/>
        <n v="11820"/>
        <n v="11830"/>
        <n v="11840"/>
        <n v="11850"/>
        <n v="11980"/>
        <n v="11990"/>
        <n v="12010"/>
        <n v="12020"/>
        <n v="12060"/>
        <n v="12080"/>
        <n v="12120"/>
        <n v="12130"/>
        <n v="12250"/>
        <n v="12260"/>
        <n v="12320"/>
        <n v="12330"/>
        <n v="12600"/>
        <n v="12880"/>
        <n v="12970"/>
        <n v="12980"/>
        <n v="12990"/>
        <n v="13050"/>
        <n v="13160"/>
        <n v="13190"/>
        <n v="13210"/>
        <n v="13370"/>
        <n v="13410"/>
        <n v="13530"/>
        <n v="13540"/>
        <n v="13700"/>
        <n v="13840"/>
        <n v="13900"/>
        <n v="14000"/>
        <n v="14020"/>
        <n v="14910"/>
        <n v="14950"/>
        <n v="14960"/>
        <n v="15020"/>
        <n v="15050"/>
        <n v="15060"/>
        <n v="15070"/>
        <n v="15120"/>
        <n v="15140"/>
        <n v="15190"/>
        <n v="15240"/>
        <n v="15310"/>
        <n v="15330"/>
        <n v="15350"/>
        <n v="15440"/>
        <n v="15500"/>
        <n v="15530"/>
        <n v="15550"/>
        <n v="15630"/>
        <n v="15640"/>
        <n v="15670"/>
        <n v="15690"/>
        <n v="15710"/>
        <n v="15720"/>
        <n v="15750"/>
        <n v="15780"/>
        <n v="15790"/>
        <n v="15820"/>
        <n v="15860"/>
        <n v="15970"/>
        <n v="17780"/>
        <n v="17900"/>
        <n v="18030"/>
        <n v="18110"/>
        <n v="18130"/>
        <n v="18270"/>
        <n v="18280"/>
        <n v="18370"/>
        <n v="18430"/>
        <n v="18490"/>
        <n v="18570"/>
        <n v="18590"/>
        <n v="18700"/>
        <n v="18720"/>
        <n v="18810"/>
        <n v="18950"/>
        <n v="18960"/>
        <n v="19000"/>
        <n v="19190"/>
        <n v="23060"/>
        <n v="23560"/>
        <n v="23820"/>
        <n v="24060"/>
        <n v="25940"/>
        <n v="26180"/>
        <n v="26260"/>
        <n v="26280"/>
        <n v="26520"/>
        <n v="26680"/>
        <n v="27440"/>
        <n v="27640"/>
        <n v="27800"/>
        <n v="27920"/>
        <n v="28020"/>
        <n v="30020"/>
        <n v="30540"/>
        <n v="30620"/>
        <n v="30840"/>
        <n v="30920"/>
        <n v="31060"/>
        <n v="35820"/>
        <n v="35880"/>
        <n v="36580"/>
        <n v="37020"/>
        <n v="37160"/>
        <n v="37500"/>
        <n v="37680"/>
        <n v="37960"/>
        <n v="39450"/>
        <n v="40630"/>
        <n v="41910"/>
        <n v="42200"/>
        <n v="42210"/>
        <n v="42300"/>
        <n v="42620"/>
        <n v="42640"/>
        <n v="42940"/>
        <n v="42990"/>
        <n v="43000"/>
        <n v="43090"/>
        <n v="43220"/>
        <n v="43380"/>
        <n v="43410"/>
        <n v="43470"/>
        <n v="43570"/>
        <n v="43640"/>
        <n v="45480"/>
        <n v="49440"/>
        <n v="53360"/>
        <n v="53950"/>
        <n v="53970"/>
        <n v="54100"/>
        <n v="54230"/>
        <n v="54570"/>
        <n v="55050"/>
        <n v="55490"/>
        <n v="55520"/>
        <n v="55990"/>
        <n v="56140"/>
        <n v="56300"/>
        <n v="56750"/>
        <n v="57040"/>
        <n v="81460"/>
        <n v="81900"/>
        <n v="82060"/>
        <n v="82880"/>
        <n v="83460"/>
        <n v="83480"/>
        <n v="84060"/>
        <n v="84400"/>
        <n v="85500"/>
        <n v="85680"/>
        <n v="91980"/>
        <n v="92930"/>
        <n v="93160"/>
        <n v="93310"/>
        <n v="93450"/>
        <n v="94620"/>
        <n v="95130"/>
        <n v="95350"/>
        <n v="95430"/>
        <n v="95880"/>
        <n v="96890"/>
        <n v="98120"/>
        <n v="98150"/>
        <n v="98330"/>
        <n v="98530"/>
        <n v="105820"/>
        <n v="107440"/>
        <n v="108460"/>
        <n v="109140"/>
        <n v="109440"/>
        <n v="110500"/>
        <n v="111440"/>
        <n v="111800"/>
        <n v="113580"/>
        <n v="113840"/>
        <n v="113920"/>
        <n v="123720"/>
        <n v="124830"/>
        <n v="128880"/>
        <n v="170190"/>
        <n v="171440"/>
        <n v="183140"/>
        <n v="184920"/>
        <n v="195500"/>
        <n v="276570"/>
        <n v="287670"/>
        <n v="382240"/>
      </sharedItems>
    </cacheField>
    <cacheField name="Customer Type" numFmtId="0">
      <sharedItems count="2">
        <s v="New"/>
        <s v="Returning"/>
      </sharedItems>
    </cacheField>
    <cacheField name="Payment Method" numFmtId="0">
      <sharedItems count="3">
        <s v="Card"/>
        <s v="Cash"/>
        <s v="Online"/>
      </sharedItems>
    </cacheField>
    <cacheField name="Date2" numFmtId="0" databaseField="0">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957">
  <r>
    <x v="526"/>
    <x v="95"/>
    <x v="0"/>
    <x v="2"/>
    <x v="17"/>
    <x v="5"/>
    <x v="0"/>
    <x v="21"/>
    <x v="20"/>
    <x v="0"/>
    <x v="1"/>
  </r>
  <r>
    <x v="842"/>
    <x v="156"/>
    <x v="1"/>
    <x v="2"/>
    <x v="19"/>
    <x v="4"/>
    <x v="0"/>
    <x v="219"/>
    <x v="204"/>
    <x v="1"/>
    <x v="2"/>
  </r>
  <r>
    <x v="228"/>
    <x v="45"/>
    <x v="2"/>
    <x v="0"/>
    <x v="9"/>
    <x v="7"/>
    <x v="0"/>
    <x v="114"/>
    <x v="108"/>
    <x v="1"/>
    <x v="0"/>
  </r>
  <r>
    <x v="662"/>
    <x v="120"/>
    <x v="3"/>
    <x v="0"/>
    <x v="14"/>
    <x v="1"/>
    <x v="0"/>
    <x v="79"/>
    <x v="76"/>
    <x v="1"/>
    <x v="1"/>
  </r>
  <r>
    <x v="60"/>
    <x v="11"/>
    <x v="3"/>
    <x v="3"/>
    <x v="20"/>
    <x v="8"/>
    <x v="0"/>
    <x v="0"/>
    <x v="0"/>
    <x v="0"/>
    <x v="0"/>
  </r>
  <r>
    <x v="148"/>
    <x v="27"/>
    <x v="3"/>
    <x v="4"/>
    <x v="15"/>
    <x v="8"/>
    <x v="0"/>
    <x v="365"/>
    <x v="410"/>
    <x v="1"/>
    <x v="0"/>
  </r>
  <r>
    <x v="153"/>
    <x v="29"/>
    <x v="3"/>
    <x v="4"/>
    <x v="1"/>
    <x v="7"/>
    <x v="0"/>
    <x v="252"/>
    <x v="239"/>
    <x v="1"/>
    <x v="1"/>
  </r>
  <r>
    <x v="932"/>
    <x v="175"/>
    <x v="3"/>
    <x v="3"/>
    <x v="5"/>
    <x v="7"/>
    <x v="0"/>
    <x v="30"/>
    <x v="29"/>
    <x v="1"/>
    <x v="1"/>
  </r>
  <r>
    <x v="716"/>
    <x v="133"/>
    <x v="4"/>
    <x v="1"/>
    <x v="2"/>
    <x v="2"/>
    <x v="1"/>
    <x v="177"/>
    <x v="287"/>
    <x v="0"/>
    <x v="1"/>
  </r>
  <r>
    <x v="552"/>
    <x v="99"/>
    <x v="2"/>
    <x v="1"/>
    <x v="0"/>
    <x v="9"/>
    <x v="0"/>
    <x v="270"/>
    <x v="332"/>
    <x v="1"/>
    <x v="1"/>
  </r>
  <r>
    <x v="326"/>
    <x v="65"/>
    <x v="3"/>
    <x v="3"/>
    <x v="3"/>
    <x v="6"/>
    <x v="0"/>
    <x v="159"/>
    <x v="150"/>
    <x v="1"/>
    <x v="2"/>
  </r>
  <r>
    <x v="94"/>
    <x v="17"/>
    <x v="4"/>
    <x v="1"/>
    <x v="2"/>
    <x v="4"/>
    <x v="0"/>
    <x v="188"/>
    <x v="176"/>
    <x v="0"/>
    <x v="1"/>
  </r>
  <r>
    <x v="390"/>
    <x v="78"/>
    <x v="2"/>
    <x v="0"/>
    <x v="23"/>
    <x v="9"/>
    <x v="0"/>
    <x v="175"/>
    <x v="166"/>
    <x v="0"/>
    <x v="1"/>
  </r>
  <r>
    <x v="956"/>
    <x v="180"/>
    <x v="3"/>
    <x v="3"/>
    <x v="4"/>
    <x v="4"/>
    <x v="0"/>
    <x v="15"/>
    <x v="15"/>
    <x v="0"/>
    <x v="1"/>
  </r>
  <r>
    <x v="766"/>
    <x v="142"/>
    <x v="4"/>
    <x v="3"/>
    <x v="5"/>
    <x v="2"/>
    <x v="2"/>
    <x v="32"/>
    <x v="245"/>
    <x v="1"/>
    <x v="2"/>
  </r>
  <r>
    <x v="308"/>
    <x v="62"/>
    <x v="4"/>
    <x v="1"/>
    <x v="2"/>
    <x v="2"/>
    <x v="1"/>
    <x v="181"/>
    <x v="289"/>
    <x v="0"/>
    <x v="1"/>
  </r>
  <r>
    <x v="375"/>
    <x v="75"/>
    <x v="3"/>
    <x v="4"/>
    <x v="22"/>
    <x v="7"/>
    <x v="1"/>
    <x v="305"/>
    <x v="425"/>
    <x v="0"/>
    <x v="1"/>
  </r>
  <r>
    <x v="679"/>
    <x v="125"/>
    <x v="4"/>
    <x v="3"/>
    <x v="5"/>
    <x v="5"/>
    <x v="1"/>
    <x v="40"/>
    <x v="163"/>
    <x v="0"/>
    <x v="1"/>
  </r>
  <r>
    <x v="13"/>
    <x v="2"/>
    <x v="1"/>
    <x v="4"/>
    <x v="21"/>
    <x v="3"/>
    <x v="1"/>
    <x v="326"/>
    <x v="431"/>
    <x v="0"/>
    <x v="0"/>
  </r>
  <r>
    <x v="632"/>
    <x v="114"/>
    <x v="1"/>
    <x v="3"/>
    <x v="3"/>
    <x v="4"/>
    <x v="0"/>
    <x v="158"/>
    <x v="149"/>
    <x v="0"/>
    <x v="1"/>
  </r>
  <r>
    <x v="34"/>
    <x v="7"/>
    <x v="2"/>
    <x v="0"/>
    <x v="14"/>
    <x v="5"/>
    <x v="1"/>
    <x v="90"/>
    <x v="237"/>
    <x v="1"/>
    <x v="0"/>
  </r>
  <r>
    <x v="508"/>
    <x v="92"/>
    <x v="3"/>
    <x v="2"/>
    <x v="17"/>
    <x v="9"/>
    <x v="3"/>
    <x v="31"/>
    <x v="271"/>
    <x v="0"/>
    <x v="1"/>
  </r>
  <r>
    <x v="220"/>
    <x v="43"/>
    <x v="3"/>
    <x v="1"/>
    <x v="18"/>
    <x v="4"/>
    <x v="1"/>
    <x v="405"/>
    <x v="504"/>
    <x v="1"/>
    <x v="1"/>
  </r>
  <r>
    <x v="164"/>
    <x v="31"/>
    <x v="4"/>
    <x v="1"/>
    <x v="2"/>
    <x v="2"/>
    <x v="0"/>
    <x v="188"/>
    <x v="176"/>
    <x v="0"/>
    <x v="2"/>
  </r>
  <r>
    <x v="498"/>
    <x v="91"/>
    <x v="3"/>
    <x v="1"/>
    <x v="13"/>
    <x v="7"/>
    <x v="1"/>
    <x v="375"/>
    <x v="480"/>
    <x v="0"/>
    <x v="1"/>
  </r>
  <r>
    <x v="746"/>
    <x v="138"/>
    <x v="2"/>
    <x v="1"/>
    <x v="18"/>
    <x v="3"/>
    <x v="0"/>
    <x v="411"/>
    <x v="470"/>
    <x v="1"/>
    <x v="0"/>
  </r>
  <r>
    <x v="761"/>
    <x v="141"/>
    <x v="3"/>
    <x v="3"/>
    <x v="16"/>
    <x v="4"/>
    <x v="0"/>
    <x v="97"/>
    <x v="93"/>
    <x v="0"/>
    <x v="0"/>
  </r>
  <r>
    <x v="875"/>
    <x v="163"/>
    <x v="3"/>
    <x v="1"/>
    <x v="13"/>
    <x v="6"/>
    <x v="0"/>
    <x v="381"/>
    <x v="447"/>
    <x v="0"/>
    <x v="2"/>
  </r>
  <r>
    <x v="125"/>
    <x v="23"/>
    <x v="2"/>
    <x v="2"/>
    <x v="17"/>
    <x v="6"/>
    <x v="1"/>
    <x v="28"/>
    <x v="142"/>
    <x v="0"/>
    <x v="1"/>
  </r>
  <r>
    <x v="551"/>
    <x v="98"/>
    <x v="0"/>
    <x v="0"/>
    <x v="9"/>
    <x v="6"/>
    <x v="0"/>
    <x v="126"/>
    <x v="118"/>
    <x v="0"/>
    <x v="0"/>
  </r>
  <r>
    <x v="910"/>
    <x v="170"/>
    <x v="4"/>
    <x v="4"/>
    <x v="22"/>
    <x v="6"/>
    <x v="1"/>
    <x v="301"/>
    <x v="422"/>
    <x v="0"/>
    <x v="1"/>
  </r>
  <r>
    <x v="388"/>
    <x v="78"/>
    <x v="3"/>
    <x v="0"/>
    <x v="6"/>
    <x v="9"/>
    <x v="1"/>
    <x v="74"/>
    <x v="214"/>
    <x v="1"/>
    <x v="1"/>
  </r>
  <r>
    <x v="630"/>
    <x v="114"/>
    <x v="3"/>
    <x v="2"/>
    <x v="7"/>
    <x v="6"/>
    <x v="2"/>
    <x v="202"/>
    <x v="321"/>
    <x v="1"/>
    <x v="1"/>
  </r>
  <r>
    <x v="299"/>
    <x v="59"/>
    <x v="0"/>
    <x v="2"/>
    <x v="7"/>
    <x v="6"/>
    <x v="0"/>
    <x v="199"/>
    <x v="186"/>
    <x v="0"/>
    <x v="2"/>
  </r>
  <r>
    <x v="53"/>
    <x v="10"/>
    <x v="2"/>
    <x v="1"/>
    <x v="18"/>
    <x v="6"/>
    <x v="0"/>
    <x v="402"/>
    <x v="464"/>
    <x v="1"/>
    <x v="1"/>
  </r>
  <r>
    <x v="437"/>
    <x v="84"/>
    <x v="2"/>
    <x v="0"/>
    <x v="14"/>
    <x v="6"/>
    <x v="1"/>
    <x v="78"/>
    <x v="221"/>
    <x v="0"/>
    <x v="1"/>
  </r>
  <r>
    <x v="484"/>
    <x v="89"/>
    <x v="2"/>
    <x v="0"/>
    <x v="23"/>
    <x v="2"/>
    <x v="1"/>
    <x v="165"/>
    <x v="280"/>
    <x v="1"/>
    <x v="1"/>
  </r>
  <r>
    <x v="796"/>
    <x v="148"/>
    <x v="2"/>
    <x v="3"/>
    <x v="4"/>
    <x v="9"/>
    <x v="0"/>
    <x v="10"/>
    <x v="10"/>
    <x v="1"/>
    <x v="1"/>
  </r>
  <r>
    <x v="557"/>
    <x v="99"/>
    <x v="3"/>
    <x v="2"/>
    <x v="17"/>
    <x v="0"/>
    <x v="0"/>
    <x v="27"/>
    <x v="26"/>
    <x v="0"/>
    <x v="0"/>
  </r>
  <r>
    <x v="872"/>
    <x v="162"/>
    <x v="3"/>
    <x v="2"/>
    <x v="19"/>
    <x v="6"/>
    <x v="0"/>
    <x v="218"/>
    <x v="203"/>
    <x v="0"/>
    <x v="2"/>
  </r>
  <r>
    <x v="361"/>
    <x v="72"/>
    <x v="3"/>
    <x v="3"/>
    <x v="16"/>
    <x v="3"/>
    <x v="0"/>
    <x v="104"/>
    <x v="99"/>
    <x v="1"/>
    <x v="2"/>
  </r>
  <r>
    <x v="783"/>
    <x v="145"/>
    <x v="2"/>
    <x v="0"/>
    <x v="14"/>
    <x v="2"/>
    <x v="0"/>
    <x v="88"/>
    <x v="84"/>
    <x v="0"/>
    <x v="0"/>
  </r>
  <r>
    <x v="256"/>
    <x v="51"/>
    <x v="3"/>
    <x v="1"/>
    <x v="8"/>
    <x v="3"/>
    <x v="0"/>
    <x v="130"/>
    <x v="122"/>
    <x v="1"/>
    <x v="1"/>
  </r>
  <r>
    <x v="446"/>
    <x v="85"/>
    <x v="3"/>
    <x v="2"/>
    <x v="10"/>
    <x v="8"/>
    <x v="1"/>
    <x v="55"/>
    <x v="185"/>
    <x v="1"/>
    <x v="2"/>
  </r>
  <r>
    <x v="463"/>
    <x v="87"/>
    <x v="0"/>
    <x v="2"/>
    <x v="17"/>
    <x v="2"/>
    <x v="0"/>
    <x v="21"/>
    <x v="20"/>
    <x v="1"/>
    <x v="0"/>
  </r>
  <r>
    <x v="355"/>
    <x v="71"/>
    <x v="2"/>
    <x v="0"/>
    <x v="6"/>
    <x v="5"/>
    <x v="1"/>
    <x v="74"/>
    <x v="214"/>
    <x v="0"/>
    <x v="1"/>
  </r>
  <r>
    <x v="686"/>
    <x v="127"/>
    <x v="4"/>
    <x v="1"/>
    <x v="0"/>
    <x v="7"/>
    <x v="1"/>
    <x v="271"/>
    <x v="414"/>
    <x v="0"/>
    <x v="0"/>
  </r>
  <r>
    <x v="771"/>
    <x v="143"/>
    <x v="3"/>
    <x v="0"/>
    <x v="6"/>
    <x v="9"/>
    <x v="0"/>
    <x v="74"/>
    <x v="71"/>
    <x v="0"/>
    <x v="1"/>
  </r>
  <r>
    <x v="701"/>
    <x v="129"/>
    <x v="3"/>
    <x v="2"/>
    <x v="7"/>
    <x v="9"/>
    <x v="3"/>
    <x v="205"/>
    <x v="373"/>
    <x v="1"/>
    <x v="0"/>
  </r>
  <r>
    <x v="743"/>
    <x v="138"/>
    <x v="2"/>
    <x v="2"/>
    <x v="7"/>
    <x v="4"/>
    <x v="1"/>
    <x v="204"/>
    <x v="300"/>
    <x v="1"/>
    <x v="0"/>
  </r>
  <r>
    <x v="294"/>
    <x v="58"/>
    <x v="3"/>
    <x v="3"/>
    <x v="20"/>
    <x v="9"/>
    <x v="0"/>
    <x v="6"/>
    <x v="6"/>
    <x v="1"/>
    <x v="1"/>
  </r>
  <r>
    <x v="683"/>
    <x v="126"/>
    <x v="2"/>
    <x v="3"/>
    <x v="4"/>
    <x v="5"/>
    <x v="0"/>
    <x v="13"/>
    <x v="13"/>
    <x v="0"/>
    <x v="2"/>
  </r>
  <r>
    <x v="327"/>
    <x v="65"/>
    <x v="0"/>
    <x v="2"/>
    <x v="19"/>
    <x v="9"/>
    <x v="0"/>
    <x v="231"/>
    <x v="217"/>
    <x v="0"/>
    <x v="0"/>
  </r>
  <r>
    <x v="466"/>
    <x v="88"/>
    <x v="0"/>
    <x v="0"/>
    <x v="9"/>
    <x v="1"/>
    <x v="1"/>
    <x v="129"/>
    <x v="259"/>
    <x v="1"/>
    <x v="0"/>
  </r>
  <r>
    <x v="868"/>
    <x v="162"/>
    <x v="4"/>
    <x v="1"/>
    <x v="0"/>
    <x v="9"/>
    <x v="0"/>
    <x v="265"/>
    <x v="328"/>
    <x v="0"/>
    <x v="1"/>
  </r>
  <r>
    <x v="25"/>
    <x v="4"/>
    <x v="2"/>
    <x v="4"/>
    <x v="1"/>
    <x v="4"/>
    <x v="1"/>
    <x v="258"/>
    <x v="317"/>
    <x v="1"/>
    <x v="1"/>
  </r>
  <r>
    <x v="930"/>
    <x v="174"/>
    <x v="2"/>
    <x v="0"/>
    <x v="6"/>
    <x v="9"/>
    <x v="1"/>
    <x v="68"/>
    <x v="204"/>
    <x v="1"/>
    <x v="2"/>
  </r>
  <r>
    <x v="271"/>
    <x v="54"/>
    <x v="1"/>
    <x v="3"/>
    <x v="20"/>
    <x v="8"/>
    <x v="1"/>
    <x v="7"/>
    <x v="63"/>
    <x v="1"/>
    <x v="0"/>
  </r>
  <r>
    <x v="222"/>
    <x v="43"/>
    <x v="4"/>
    <x v="1"/>
    <x v="0"/>
    <x v="3"/>
    <x v="0"/>
    <x v="268"/>
    <x v="330"/>
    <x v="1"/>
    <x v="1"/>
  </r>
  <r>
    <x v="24"/>
    <x v="4"/>
    <x v="1"/>
    <x v="1"/>
    <x v="12"/>
    <x v="1"/>
    <x v="0"/>
    <x v="428"/>
    <x v="490"/>
    <x v="1"/>
    <x v="2"/>
  </r>
  <r>
    <x v="98"/>
    <x v="18"/>
    <x v="3"/>
    <x v="2"/>
    <x v="17"/>
    <x v="0"/>
    <x v="0"/>
    <x v="23"/>
    <x v="22"/>
    <x v="1"/>
    <x v="0"/>
  </r>
  <r>
    <x v="813"/>
    <x v="151"/>
    <x v="0"/>
    <x v="1"/>
    <x v="8"/>
    <x v="4"/>
    <x v="0"/>
    <x v="140"/>
    <x v="131"/>
    <x v="1"/>
    <x v="2"/>
  </r>
  <r>
    <x v="140"/>
    <x v="26"/>
    <x v="3"/>
    <x v="3"/>
    <x v="4"/>
    <x v="4"/>
    <x v="0"/>
    <x v="18"/>
    <x v="18"/>
    <x v="0"/>
    <x v="0"/>
  </r>
  <r>
    <x v="849"/>
    <x v="158"/>
    <x v="3"/>
    <x v="3"/>
    <x v="16"/>
    <x v="7"/>
    <x v="0"/>
    <x v="94"/>
    <x v="90"/>
    <x v="1"/>
    <x v="1"/>
  </r>
  <r>
    <x v="890"/>
    <x v="166"/>
    <x v="1"/>
    <x v="2"/>
    <x v="10"/>
    <x v="0"/>
    <x v="0"/>
    <x v="61"/>
    <x v="59"/>
    <x v="1"/>
    <x v="2"/>
  </r>
  <r>
    <x v="108"/>
    <x v="20"/>
    <x v="2"/>
    <x v="0"/>
    <x v="23"/>
    <x v="8"/>
    <x v="0"/>
    <x v="163"/>
    <x v="154"/>
    <x v="1"/>
    <x v="1"/>
  </r>
  <r>
    <x v="372"/>
    <x v="75"/>
    <x v="0"/>
    <x v="0"/>
    <x v="23"/>
    <x v="0"/>
    <x v="0"/>
    <x v="168"/>
    <x v="159"/>
    <x v="1"/>
    <x v="1"/>
  </r>
  <r>
    <x v="26"/>
    <x v="4"/>
    <x v="1"/>
    <x v="3"/>
    <x v="3"/>
    <x v="4"/>
    <x v="0"/>
    <x v="153"/>
    <x v="144"/>
    <x v="1"/>
    <x v="1"/>
  </r>
  <r>
    <x v="99"/>
    <x v="18"/>
    <x v="2"/>
    <x v="3"/>
    <x v="5"/>
    <x v="7"/>
    <x v="0"/>
    <x v="36"/>
    <x v="35"/>
    <x v="1"/>
    <x v="1"/>
  </r>
  <r>
    <x v="46"/>
    <x v="9"/>
    <x v="0"/>
    <x v="3"/>
    <x v="20"/>
    <x v="4"/>
    <x v="0"/>
    <x v="1"/>
    <x v="1"/>
    <x v="1"/>
    <x v="1"/>
  </r>
  <r>
    <x v="305"/>
    <x v="61"/>
    <x v="2"/>
    <x v="4"/>
    <x v="22"/>
    <x v="7"/>
    <x v="0"/>
    <x v="287"/>
    <x v="350"/>
    <x v="0"/>
    <x v="2"/>
  </r>
  <r>
    <x v="929"/>
    <x v="174"/>
    <x v="1"/>
    <x v="1"/>
    <x v="0"/>
    <x v="8"/>
    <x v="0"/>
    <x v="272"/>
    <x v="333"/>
    <x v="0"/>
    <x v="1"/>
  </r>
  <r>
    <x v="347"/>
    <x v="69"/>
    <x v="3"/>
    <x v="1"/>
    <x v="2"/>
    <x v="1"/>
    <x v="0"/>
    <x v="182"/>
    <x v="170"/>
    <x v="1"/>
    <x v="1"/>
  </r>
  <r>
    <x v="587"/>
    <x v="106"/>
    <x v="3"/>
    <x v="1"/>
    <x v="13"/>
    <x v="3"/>
    <x v="0"/>
    <x v="378"/>
    <x v="444"/>
    <x v="1"/>
    <x v="1"/>
  </r>
  <r>
    <x v="377"/>
    <x v="76"/>
    <x v="3"/>
    <x v="0"/>
    <x v="9"/>
    <x v="5"/>
    <x v="0"/>
    <x v="114"/>
    <x v="108"/>
    <x v="1"/>
    <x v="0"/>
  </r>
  <r>
    <x v="360"/>
    <x v="72"/>
    <x v="0"/>
    <x v="3"/>
    <x v="4"/>
    <x v="3"/>
    <x v="0"/>
    <x v="16"/>
    <x v="16"/>
    <x v="1"/>
    <x v="1"/>
  </r>
  <r>
    <x v="655"/>
    <x v="119"/>
    <x v="1"/>
    <x v="4"/>
    <x v="1"/>
    <x v="0"/>
    <x v="0"/>
    <x v="244"/>
    <x v="232"/>
    <x v="0"/>
    <x v="0"/>
  </r>
  <r>
    <x v="371"/>
    <x v="74"/>
    <x v="3"/>
    <x v="3"/>
    <x v="16"/>
    <x v="0"/>
    <x v="0"/>
    <x v="111"/>
    <x v="105"/>
    <x v="1"/>
    <x v="0"/>
  </r>
  <r>
    <x v="510"/>
    <x v="93"/>
    <x v="3"/>
    <x v="2"/>
    <x v="7"/>
    <x v="7"/>
    <x v="1"/>
    <x v="199"/>
    <x v="299"/>
    <x v="1"/>
    <x v="1"/>
  </r>
  <r>
    <x v="567"/>
    <x v="101"/>
    <x v="4"/>
    <x v="4"/>
    <x v="21"/>
    <x v="9"/>
    <x v="1"/>
    <x v="328"/>
    <x v="432"/>
    <x v="1"/>
    <x v="2"/>
  </r>
  <r>
    <x v="899"/>
    <x v="169"/>
    <x v="3"/>
    <x v="2"/>
    <x v="7"/>
    <x v="8"/>
    <x v="0"/>
    <x v="210"/>
    <x v="197"/>
    <x v="1"/>
    <x v="2"/>
  </r>
  <r>
    <x v="63"/>
    <x v="12"/>
    <x v="0"/>
    <x v="0"/>
    <x v="6"/>
    <x v="1"/>
    <x v="0"/>
    <x v="69"/>
    <x v="67"/>
    <x v="1"/>
    <x v="1"/>
  </r>
  <r>
    <x v="860"/>
    <x v="160"/>
    <x v="0"/>
    <x v="3"/>
    <x v="3"/>
    <x v="2"/>
    <x v="0"/>
    <x v="149"/>
    <x v="140"/>
    <x v="1"/>
    <x v="0"/>
  </r>
  <r>
    <x v="146"/>
    <x v="27"/>
    <x v="0"/>
    <x v="3"/>
    <x v="5"/>
    <x v="1"/>
    <x v="0"/>
    <x v="35"/>
    <x v="34"/>
    <x v="1"/>
    <x v="1"/>
  </r>
  <r>
    <x v="467"/>
    <x v="88"/>
    <x v="2"/>
    <x v="1"/>
    <x v="13"/>
    <x v="2"/>
    <x v="0"/>
    <x v="382"/>
    <x v="448"/>
    <x v="1"/>
    <x v="2"/>
  </r>
  <r>
    <x v="821"/>
    <x v="153"/>
    <x v="3"/>
    <x v="1"/>
    <x v="0"/>
    <x v="3"/>
    <x v="0"/>
    <x v="279"/>
    <x v="339"/>
    <x v="1"/>
    <x v="1"/>
  </r>
  <r>
    <x v="614"/>
    <x v="111"/>
    <x v="4"/>
    <x v="0"/>
    <x v="23"/>
    <x v="5"/>
    <x v="1"/>
    <x v="167"/>
    <x v="281"/>
    <x v="1"/>
    <x v="1"/>
  </r>
  <r>
    <x v="419"/>
    <x v="82"/>
    <x v="2"/>
    <x v="0"/>
    <x v="11"/>
    <x v="1"/>
    <x v="0"/>
    <x v="45"/>
    <x v="44"/>
    <x v="1"/>
    <x v="0"/>
  </r>
  <r>
    <x v="879"/>
    <x v="164"/>
    <x v="0"/>
    <x v="3"/>
    <x v="4"/>
    <x v="1"/>
    <x v="0"/>
    <x v="14"/>
    <x v="14"/>
    <x v="0"/>
    <x v="1"/>
  </r>
  <r>
    <x v="828"/>
    <x v="154"/>
    <x v="3"/>
    <x v="0"/>
    <x v="6"/>
    <x v="0"/>
    <x v="0"/>
    <x v="72"/>
    <x v="69"/>
    <x v="0"/>
    <x v="2"/>
  </r>
  <r>
    <x v="693"/>
    <x v="128"/>
    <x v="3"/>
    <x v="0"/>
    <x v="11"/>
    <x v="5"/>
    <x v="0"/>
    <x v="51"/>
    <x v="49"/>
    <x v="1"/>
    <x v="2"/>
  </r>
  <r>
    <x v="518"/>
    <x v="93"/>
    <x v="0"/>
    <x v="3"/>
    <x v="20"/>
    <x v="1"/>
    <x v="3"/>
    <x v="4"/>
    <x v="192"/>
    <x v="1"/>
    <x v="1"/>
  </r>
  <r>
    <x v="297"/>
    <x v="59"/>
    <x v="3"/>
    <x v="3"/>
    <x v="20"/>
    <x v="2"/>
    <x v="0"/>
    <x v="4"/>
    <x v="4"/>
    <x v="1"/>
    <x v="2"/>
  </r>
  <r>
    <x v="110"/>
    <x v="20"/>
    <x v="0"/>
    <x v="2"/>
    <x v="19"/>
    <x v="3"/>
    <x v="0"/>
    <x v="237"/>
    <x v="224"/>
    <x v="0"/>
    <x v="1"/>
  </r>
  <r>
    <x v="547"/>
    <x v="98"/>
    <x v="1"/>
    <x v="1"/>
    <x v="12"/>
    <x v="2"/>
    <x v="2"/>
    <x v="434"/>
    <x v="520"/>
    <x v="0"/>
    <x v="1"/>
  </r>
  <r>
    <x v="749"/>
    <x v="139"/>
    <x v="2"/>
    <x v="2"/>
    <x v="19"/>
    <x v="9"/>
    <x v="0"/>
    <x v="226"/>
    <x v="211"/>
    <x v="0"/>
    <x v="1"/>
  </r>
  <r>
    <x v="9"/>
    <x v="1"/>
    <x v="3"/>
    <x v="2"/>
    <x v="17"/>
    <x v="7"/>
    <x v="0"/>
    <x v="26"/>
    <x v="25"/>
    <x v="0"/>
    <x v="1"/>
  </r>
  <r>
    <x v="515"/>
    <x v="93"/>
    <x v="2"/>
    <x v="1"/>
    <x v="0"/>
    <x v="3"/>
    <x v="0"/>
    <x v="264"/>
    <x v="327"/>
    <x v="1"/>
    <x v="1"/>
  </r>
  <r>
    <x v="569"/>
    <x v="102"/>
    <x v="2"/>
    <x v="2"/>
    <x v="17"/>
    <x v="2"/>
    <x v="0"/>
    <x v="28"/>
    <x v="27"/>
    <x v="1"/>
    <x v="0"/>
  </r>
  <r>
    <x v="57"/>
    <x v="11"/>
    <x v="3"/>
    <x v="3"/>
    <x v="3"/>
    <x v="4"/>
    <x v="0"/>
    <x v="152"/>
    <x v="143"/>
    <x v="1"/>
    <x v="1"/>
  </r>
  <r>
    <x v="675"/>
    <x v="124"/>
    <x v="3"/>
    <x v="1"/>
    <x v="8"/>
    <x v="3"/>
    <x v="1"/>
    <x v="137"/>
    <x v="265"/>
    <x v="1"/>
    <x v="1"/>
  </r>
  <r>
    <x v="667"/>
    <x v="122"/>
    <x v="1"/>
    <x v="0"/>
    <x v="14"/>
    <x v="5"/>
    <x v="2"/>
    <x v="75"/>
    <x v="276"/>
    <x v="0"/>
    <x v="1"/>
  </r>
  <r>
    <x v="935"/>
    <x v="176"/>
    <x v="0"/>
    <x v="3"/>
    <x v="4"/>
    <x v="9"/>
    <x v="0"/>
    <x v="9"/>
    <x v="9"/>
    <x v="1"/>
    <x v="2"/>
  </r>
  <r>
    <x v="205"/>
    <x v="40"/>
    <x v="2"/>
    <x v="2"/>
    <x v="17"/>
    <x v="9"/>
    <x v="1"/>
    <x v="25"/>
    <x v="138"/>
    <x v="1"/>
    <x v="1"/>
  </r>
  <r>
    <x v="955"/>
    <x v="180"/>
    <x v="3"/>
    <x v="0"/>
    <x v="6"/>
    <x v="0"/>
    <x v="1"/>
    <x v="71"/>
    <x v="207"/>
    <x v="1"/>
    <x v="1"/>
  </r>
  <r>
    <x v="768"/>
    <x v="142"/>
    <x v="2"/>
    <x v="0"/>
    <x v="14"/>
    <x v="2"/>
    <x v="0"/>
    <x v="90"/>
    <x v="86"/>
    <x v="1"/>
    <x v="2"/>
  </r>
  <r>
    <x v="357"/>
    <x v="71"/>
    <x v="3"/>
    <x v="1"/>
    <x v="2"/>
    <x v="4"/>
    <x v="1"/>
    <x v="191"/>
    <x v="294"/>
    <x v="1"/>
    <x v="1"/>
  </r>
  <r>
    <x v="61"/>
    <x v="11"/>
    <x v="1"/>
    <x v="2"/>
    <x v="19"/>
    <x v="1"/>
    <x v="0"/>
    <x v="226"/>
    <x v="211"/>
    <x v="0"/>
    <x v="0"/>
  </r>
  <r>
    <x v="387"/>
    <x v="78"/>
    <x v="4"/>
    <x v="3"/>
    <x v="20"/>
    <x v="0"/>
    <x v="0"/>
    <x v="7"/>
    <x v="7"/>
    <x v="1"/>
    <x v="0"/>
  </r>
  <r>
    <x v="414"/>
    <x v="81"/>
    <x v="3"/>
    <x v="0"/>
    <x v="14"/>
    <x v="5"/>
    <x v="1"/>
    <x v="77"/>
    <x v="220"/>
    <x v="1"/>
    <x v="0"/>
  </r>
  <r>
    <x v="204"/>
    <x v="40"/>
    <x v="4"/>
    <x v="0"/>
    <x v="9"/>
    <x v="5"/>
    <x v="0"/>
    <x v="120"/>
    <x v="112"/>
    <x v="1"/>
    <x v="0"/>
  </r>
  <r>
    <x v="455"/>
    <x v="86"/>
    <x v="0"/>
    <x v="3"/>
    <x v="3"/>
    <x v="7"/>
    <x v="0"/>
    <x v="161"/>
    <x v="152"/>
    <x v="1"/>
    <x v="1"/>
  </r>
  <r>
    <x v="528"/>
    <x v="95"/>
    <x v="3"/>
    <x v="0"/>
    <x v="9"/>
    <x v="5"/>
    <x v="0"/>
    <x v="126"/>
    <x v="118"/>
    <x v="0"/>
    <x v="2"/>
  </r>
  <r>
    <x v="244"/>
    <x v="48"/>
    <x v="2"/>
    <x v="3"/>
    <x v="3"/>
    <x v="5"/>
    <x v="1"/>
    <x v="154"/>
    <x v="270"/>
    <x v="0"/>
    <x v="1"/>
  </r>
  <r>
    <x v="651"/>
    <x v="119"/>
    <x v="3"/>
    <x v="3"/>
    <x v="20"/>
    <x v="2"/>
    <x v="0"/>
    <x v="4"/>
    <x v="4"/>
    <x v="0"/>
    <x v="1"/>
  </r>
  <r>
    <x v="571"/>
    <x v="102"/>
    <x v="0"/>
    <x v="0"/>
    <x v="11"/>
    <x v="3"/>
    <x v="0"/>
    <x v="45"/>
    <x v="44"/>
    <x v="1"/>
    <x v="1"/>
  </r>
  <r>
    <x v="625"/>
    <x v="113"/>
    <x v="2"/>
    <x v="1"/>
    <x v="2"/>
    <x v="9"/>
    <x v="0"/>
    <x v="179"/>
    <x v="168"/>
    <x v="1"/>
    <x v="1"/>
  </r>
  <r>
    <x v="887"/>
    <x v="165"/>
    <x v="2"/>
    <x v="4"/>
    <x v="21"/>
    <x v="4"/>
    <x v="1"/>
    <x v="321"/>
    <x v="428"/>
    <x v="0"/>
    <x v="2"/>
  </r>
  <r>
    <x v="751"/>
    <x v="139"/>
    <x v="3"/>
    <x v="2"/>
    <x v="17"/>
    <x v="8"/>
    <x v="1"/>
    <x v="25"/>
    <x v="138"/>
    <x v="0"/>
    <x v="1"/>
  </r>
  <r>
    <x v="170"/>
    <x v="33"/>
    <x v="4"/>
    <x v="3"/>
    <x v="20"/>
    <x v="6"/>
    <x v="0"/>
    <x v="4"/>
    <x v="4"/>
    <x v="0"/>
    <x v="1"/>
  </r>
  <r>
    <x v="750"/>
    <x v="139"/>
    <x v="2"/>
    <x v="0"/>
    <x v="14"/>
    <x v="5"/>
    <x v="0"/>
    <x v="81"/>
    <x v="78"/>
    <x v="0"/>
    <x v="2"/>
  </r>
  <r>
    <x v="159"/>
    <x v="30"/>
    <x v="2"/>
    <x v="3"/>
    <x v="5"/>
    <x v="4"/>
    <x v="1"/>
    <x v="30"/>
    <x v="146"/>
    <x v="1"/>
    <x v="1"/>
  </r>
  <r>
    <x v="396"/>
    <x v="79"/>
    <x v="2"/>
    <x v="0"/>
    <x v="14"/>
    <x v="8"/>
    <x v="0"/>
    <x v="82"/>
    <x v="79"/>
    <x v="0"/>
    <x v="1"/>
  </r>
  <r>
    <x v="744"/>
    <x v="138"/>
    <x v="3"/>
    <x v="2"/>
    <x v="7"/>
    <x v="9"/>
    <x v="3"/>
    <x v="210"/>
    <x v="377"/>
    <x v="0"/>
    <x v="2"/>
  </r>
  <r>
    <x v="534"/>
    <x v="96"/>
    <x v="3"/>
    <x v="2"/>
    <x v="17"/>
    <x v="4"/>
    <x v="0"/>
    <x v="27"/>
    <x v="26"/>
    <x v="0"/>
    <x v="1"/>
  </r>
  <r>
    <x v="109"/>
    <x v="20"/>
    <x v="0"/>
    <x v="1"/>
    <x v="2"/>
    <x v="5"/>
    <x v="0"/>
    <x v="188"/>
    <x v="176"/>
    <x v="1"/>
    <x v="1"/>
  </r>
  <r>
    <x v="168"/>
    <x v="33"/>
    <x v="2"/>
    <x v="2"/>
    <x v="10"/>
    <x v="8"/>
    <x v="0"/>
    <x v="66"/>
    <x v="64"/>
    <x v="1"/>
    <x v="0"/>
  </r>
  <r>
    <x v="706"/>
    <x v="131"/>
    <x v="4"/>
    <x v="3"/>
    <x v="5"/>
    <x v="2"/>
    <x v="1"/>
    <x v="37"/>
    <x v="158"/>
    <x v="1"/>
    <x v="1"/>
  </r>
  <r>
    <x v="621"/>
    <x v="112"/>
    <x v="1"/>
    <x v="4"/>
    <x v="1"/>
    <x v="5"/>
    <x v="0"/>
    <x v="254"/>
    <x v="241"/>
    <x v="0"/>
    <x v="2"/>
  </r>
  <r>
    <x v="289"/>
    <x v="58"/>
    <x v="2"/>
    <x v="0"/>
    <x v="9"/>
    <x v="6"/>
    <x v="1"/>
    <x v="113"/>
    <x v="251"/>
    <x v="1"/>
    <x v="1"/>
  </r>
  <r>
    <x v="591"/>
    <x v="107"/>
    <x v="1"/>
    <x v="3"/>
    <x v="5"/>
    <x v="0"/>
    <x v="0"/>
    <x v="36"/>
    <x v="35"/>
    <x v="1"/>
    <x v="1"/>
  </r>
  <r>
    <x v="740"/>
    <x v="137"/>
    <x v="3"/>
    <x v="3"/>
    <x v="16"/>
    <x v="2"/>
    <x v="0"/>
    <x v="106"/>
    <x v="101"/>
    <x v="1"/>
    <x v="1"/>
  </r>
  <r>
    <x v="747"/>
    <x v="139"/>
    <x v="2"/>
    <x v="3"/>
    <x v="3"/>
    <x v="5"/>
    <x v="0"/>
    <x v="162"/>
    <x v="153"/>
    <x v="0"/>
    <x v="2"/>
  </r>
  <r>
    <x v="597"/>
    <x v="108"/>
    <x v="4"/>
    <x v="1"/>
    <x v="13"/>
    <x v="2"/>
    <x v="0"/>
    <x v="396"/>
    <x v="458"/>
    <x v="0"/>
    <x v="2"/>
  </r>
  <r>
    <x v="171"/>
    <x v="33"/>
    <x v="0"/>
    <x v="3"/>
    <x v="20"/>
    <x v="9"/>
    <x v="0"/>
    <x v="7"/>
    <x v="7"/>
    <x v="0"/>
    <x v="1"/>
  </r>
  <r>
    <x v="530"/>
    <x v="95"/>
    <x v="0"/>
    <x v="0"/>
    <x v="11"/>
    <x v="4"/>
    <x v="0"/>
    <x v="53"/>
    <x v="51"/>
    <x v="0"/>
    <x v="2"/>
  </r>
  <r>
    <x v="296"/>
    <x v="59"/>
    <x v="0"/>
    <x v="0"/>
    <x v="6"/>
    <x v="6"/>
    <x v="0"/>
    <x v="81"/>
    <x v="78"/>
    <x v="1"/>
    <x v="1"/>
  </r>
  <r>
    <x v="128"/>
    <x v="23"/>
    <x v="1"/>
    <x v="0"/>
    <x v="6"/>
    <x v="9"/>
    <x v="1"/>
    <x v="80"/>
    <x v="224"/>
    <x v="1"/>
    <x v="0"/>
  </r>
  <r>
    <x v="941"/>
    <x v="177"/>
    <x v="4"/>
    <x v="0"/>
    <x v="14"/>
    <x v="2"/>
    <x v="0"/>
    <x v="90"/>
    <x v="86"/>
    <x v="0"/>
    <x v="2"/>
  </r>
  <r>
    <x v="389"/>
    <x v="78"/>
    <x v="4"/>
    <x v="1"/>
    <x v="0"/>
    <x v="4"/>
    <x v="0"/>
    <x v="278"/>
    <x v="338"/>
    <x v="1"/>
    <x v="2"/>
  </r>
  <r>
    <x v="283"/>
    <x v="56"/>
    <x v="2"/>
    <x v="3"/>
    <x v="4"/>
    <x v="4"/>
    <x v="0"/>
    <x v="10"/>
    <x v="10"/>
    <x v="1"/>
    <x v="0"/>
  </r>
  <r>
    <x v="884"/>
    <x v="165"/>
    <x v="4"/>
    <x v="2"/>
    <x v="7"/>
    <x v="6"/>
    <x v="1"/>
    <x v="211"/>
    <x v="301"/>
    <x v="0"/>
    <x v="1"/>
  </r>
  <r>
    <x v="334"/>
    <x v="67"/>
    <x v="0"/>
    <x v="3"/>
    <x v="4"/>
    <x v="1"/>
    <x v="0"/>
    <x v="14"/>
    <x v="14"/>
    <x v="1"/>
    <x v="0"/>
  </r>
  <r>
    <x v="431"/>
    <x v="83"/>
    <x v="0"/>
    <x v="2"/>
    <x v="10"/>
    <x v="2"/>
    <x v="0"/>
    <x v="54"/>
    <x v="52"/>
    <x v="1"/>
    <x v="0"/>
  </r>
  <r>
    <x v="624"/>
    <x v="113"/>
    <x v="2"/>
    <x v="0"/>
    <x v="11"/>
    <x v="2"/>
    <x v="0"/>
    <x v="57"/>
    <x v="55"/>
    <x v="1"/>
    <x v="0"/>
  </r>
  <r>
    <x v="714"/>
    <x v="132"/>
    <x v="2"/>
    <x v="2"/>
    <x v="10"/>
    <x v="4"/>
    <x v="0"/>
    <x v="57"/>
    <x v="55"/>
    <x v="1"/>
    <x v="2"/>
  </r>
  <r>
    <x v="453"/>
    <x v="86"/>
    <x v="2"/>
    <x v="3"/>
    <x v="3"/>
    <x v="5"/>
    <x v="0"/>
    <x v="158"/>
    <x v="149"/>
    <x v="0"/>
    <x v="1"/>
  </r>
  <r>
    <x v="232"/>
    <x v="46"/>
    <x v="2"/>
    <x v="0"/>
    <x v="14"/>
    <x v="2"/>
    <x v="0"/>
    <x v="82"/>
    <x v="79"/>
    <x v="1"/>
    <x v="0"/>
  </r>
  <r>
    <x v="134"/>
    <x v="25"/>
    <x v="1"/>
    <x v="0"/>
    <x v="9"/>
    <x v="1"/>
    <x v="0"/>
    <x v="113"/>
    <x v="107"/>
    <x v="1"/>
    <x v="1"/>
  </r>
  <r>
    <x v="915"/>
    <x v="171"/>
    <x v="3"/>
    <x v="3"/>
    <x v="20"/>
    <x v="5"/>
    <x v="1"/>
    <x v="6"/>
    <x v="61"/>
    <x v="0"/>
    <x v="0"/>
  </r>
  <r>
    <x v="259"/>
    <x v="52"/>
    <x v="3"/>
    <x v="3"/>
    <x v="4"/>
    <x v="4"/>
    <x v="0"/>
    <x v="18"/>
    <x v="18"/>
    <x v="1"/>
    <x v="0"/>
  </r>
  <r>
    <x v="511"/>
    <x v="93"/>
    <x v="2"/>
    <x v="3"/>
    <x v="16"/>
    <x v="3"/>
    <x v="0"/>
    <x v="96"/>
    <x v="92"/>
    <x v="1"/>
    <x v="0"/>
  </r>
  <r>
    <x v="677"/>
    <x v="124"/>
    <x v="3"/>
    <x v="2"/>
    <x v="17"/>
    <x v="8"/>
    <x v="1"/>
    <x v="30"/>
    <x v="146"/>
    <x v="0"/>
    <x v="2"/>
  </r>
  <r>
    <x v="48"/>
    <x v="9"/>
    <x v="1"/>
    <x v="1"/>
    <x v="13"/>
    <x v="1"/>
    <x v="1"/>
    <x v="377"/>
    <x v="481"/>
    <x v="0"/>
    <x v="0"/>
  </r>
  <r>
    <x v="74"/>
    <x v="14"/>
    <x v="3"/>
    <x v="1"/>
    <x v="8"/>
    <x v="0"/>
    <x v="0"/>
    <x v="135"/>
    <x v="126"/>
    <x v="1"/>
    <x v="0"/>
  </r>
  <r>
    <x v="608"/>
    <x v="109"/>
    <x v="3"/>
    <x v="3"/>
    <x v="3"/>
    <x v="1"/>
    <x v="0"/>
    <x v="165"/>
    <x v="156"/>
    <x v="1"/>
    <x v="1"/>
  </r>
  <r>
    <x v="237"/>
    <x v="47"/>
    <x v="4"/>
    <x v="2"/>
    <x v="10"/>
    <x v="5"/>
    <x v="1"/>
    <x v="55"/>
    <x v="185"/>
    <x v="1"/>
    <x v="0"/>
  </r>
  <r>
    <x v="833"/>
    <x v="155"/>
    <x v="2"/>
    <x v="4"/>
    <x v="1"/>
    <x v="2"/>
    <x v="0"/>
    <x v="256"/>
    <x v="243"/>
    <x v="0"/>
    <x v="0"/>
  </r>
  <r>
    <x v="610"/>
    <x v="110"/>
    <x v="3"/>
    <x v="0"/>
    <x v="6"/>
    <x v="9"/>
    <x v="1"/>
    <x v="78"/>
    <x v="221"/>
    <x v="1"/>
    <x v="2"/>
  </r>
  <r>
    <x v="253"/>
    <x v="51"/>
    <x v="0"/>
    <x v="0"/>
    <x v="9"/>
    <x v="5"/>
    <x v="0"/>
    <x v="128"/>
    <x v="120"/>
    <x v="1"/>
    <x v="0"/>
  </r>
  <r>
    <x v="586"/>
    <x v="106"/>
    <x v="2"/>
    <x v="4"/>
    <x v="21"/>
    <x v="0"/>
    <x v="0"/>
    <x v="330"/>
    <x v="381"/>
    <x v="1"/>
    <x v="2"/>
  </r>
  <r>
    <x v="931"/>
    <x v="175"/>
    <x v="3"/>
    <x v="0"/>
    <x v="23"/>
    <x v="7"/>
    <x v="1"/>
    <x v="174"/>
    <x v="285"/>
    <x v="0"/>
    <x v="0"/>
  </r>
  <r>
    <x v="873"/>
    <x v="163"/>
    <x v="3"/>
    <x v="2"/>
    <x v="10"/>
    <x v="5"/>
    <x v="0"/>
    <x v="56"/>
    <x v="54"/>
    <x v="1"/>
    <x v="1"/>
  </r>
  <r>
    <x v="603"/>
    <x v="109"/>
    <x v="1"/>
    <x v="0"/>
    <x v="14"/>
    <x v="1"/>
    <x v="0"/>
    <x v="81"/>
    <x v="78"/>
    <x v="1"/>
    <x v="2"/>
  </r>
  <r>
    <x v="351"/>
    <x v="70"/>
    <x v="0"/>
    <x v="4"/>
    <x v="21"/>
    <x v="6"/>
    <x v="0"/>
    <x v="311"/>
    <x v="365"/>
    <x v="1"/>
    <x v="0"/>
  </r>
  <r>
    <x v="97"/>
    <x v="18"/>
    <x v="4"/>
    <x v="3"/>
    <x v="4"/>
    <x v="0"/>
    <x v="3"/>
    <x v="18"/>
    <x v="249"/>
    <x v="1"/>
    <x v="1"/>
  </r>
  <r>
    <x v="627"/>
    <x v="113"/>
    <x v="4"/>
    <x v="1"/>
    <x v="12"/>
    <x v="0"/>
    <x v="0"/>
    <x v="425"/>
    <x v="487"/>
    <x v="1"/>
    <x v="2"/>
  </r>
  <r>
    <x v="913"/>
    <x v="171"/>
    <x v="4"/>
    <x v="3"/>
    <x v="5"/>
    <x v="3"/>
    <x v="0"/>
    <x v="33"/>
    <x v="32"/>
    <x v="0"/>
    <x v="2"/>
  </r>
  <r>
    <x v="323"/>
    <x v="65"/>
    <x v="1"/>
    <x v="0"/>
    <x v="9"/>
    <x v="2"/>
    <x v="0"/>
    <x v="116"/>
    <x v="109"/>
    <x v="1"/>
    <x v="0"/>
  </r>
  <r>
    <x v="127"/>
    <x v="23"/>
    <x v="4"/>
    <x v="0"/>
    <x v="14"/>
    <x v="7"/>
    <x v="1"/>
    <x v="89"/>
    <x v="236"/>
    <x v="1"/>
    <x v="1"/>
  </r>
  <r>
    <x v="445"/>
    <x v="85"/>
    <x v="3"/>
    <x v="3"/>
    <x v="3"/>
    <x v="5"/>
    <x v="0"/>
    <x v="158"/>
    <x v="149"/>
    <x v="1"/>
    <x v="1"/>
  </r>
  <r>
    <x v="886"/>
    <x v="165"/>
    <x v="4"/>
    <x v="0"/>
    <x v="14"/>
    <x v="8"/>
    <x v="0"/>
    <x v="91"/>
    <x v="87"/>
    <x v="1"/>
    <x v="1"/>
  </r>
  <r>
    <x v="666"/>
    <x v="121"/>
    <x v="1"/>
    <x v="1"/>
    <x v="8"/>
    <x v="4"/>
    <x v="0"/>
    <x v="136"/>
    <x v="127"/>
    <x v="0"/>
    <x v="0"/>
  </r>
  <r>
    <x v="339"/>
    <x v="68"/>
    <x v="4"/>
    <x v="0"/>
    <x v="14"/>
    <x v="9"/>
    <x v="1"/>
    <x v="92"/>
    <x v="239"/>
    <x v="0"/>
    <x v="1"/>
  </r>
  <r>
    <x v="80"/>
    <x v="15"/>
    <x v="4"/>
    <x v="0"/>
    <x v="14"/>
    <x v="4"/>
    <x v="1"/>
    <x v="79"/>
    <x v="223"/>
    <x v="0"/>
    <x v="1"/>
  </r>
  <r>
    <x v="158"/>
    <x v="30"/>
    <x v="2"/>
    <x v="0"/>
    <x v="11"/>
    <x v="6"/>
    <x v="0"/>
    <x v="57"/>
    <x v="55"/>
    <x v="1"/>
    <x v="1"/>
  </r>
  <r>
    <x v="718"/>
    <x v="133"/>
    <x v="0"/>
    <x v="3"/>
    <x v="5"/>
    <x v="6"/>
    <x v="0"/>
    <x v="40"/>
    <x v="39"/>
    <x v="0"/>
    <x v="0"/>
  </r>
  <r>
    <x v="893"/>
    <x v="167"/>
    <x v="3"/>
    <x v="1"/>
    <x v="0"/>
    <x v="8"/>
    <x v="0"/>
    <x v="281"/>
    <x v="341"/>
    <x v="1"/>
    <x v="2"/>
  </r>
  <r>
    <x v="418"/>
    <x v="82"/>
    <x v="4"/>
    <x v="0"/>
    <x v="6"/>
    <x v="3"/>
    <x v="1"/>
    <x v="82"/>
    <x v="227"/>
    <x v="1"/>
    <x v="1"/>
  </r>
  <r>
    <x v="478"/>
    <x v="89"/>
    <x v="4"/>
    <x v="0"/>
    <x v="23"/>
    <x v="9"/>
    <x v="0"/>
    <x v="158"/>
    <x v="149"/>
    <x v="0"/>
    <x v="2"/>
  </r>
  <r>
    <x v="905"/>
    <x v="170"/>
    <x v="0"/>
    <x v="3"/>
    <x v="20"/>
    <x v="7"/>
    <x v="0"/>
    <x v="5"/>
    <x v="5"/>
    <x v="0"/>
    <x v="1"/>
  </r>
  <r>
    <x v="411"/>
    <x v="81"/>
    <x v="2"/>
    <x v="0"/>
    <x v="9"/>
    <x v="6"/>
    <x v="0"/>
    <x v="124"/>
    <x v="116"/>
    <x v="0"/>
    <x v="0"/>
  </r>
  <r>
    <x v="925"/>
    <x v="173"/>
    <x v="2"/>
    <x v="1"/>
    <x v="2"/>
    <x v="5"/>
    <x v="0"/>
    <x v="192"/>
    <x v="178"/>
    <x v="0"/>
    <x v="0"/>
  </r>
  <r>
    <x v="598"/>
    <x v="108"/>
    <x v="2"/>
    <x v="1"/>
    <x v="2"/>
    <x v="6"/>
    <x v="0"/>
    <x v="184"/>
    <x v="173"/>
    <x v="0"/>
    <x v="1"/>
  </r>
  <r>
    <x v="659"/>
    <x v="120"/>
    <x v="2"/>
    <x v="3"/>
    <x v="4"/>
    <x v="2"/>
    <x v="0"/>
    <x v="17"/>
    <x v="17"/>
    <x v="0"/>
    <x v="1"/>
  </r>
  <r>
    <x v="285"/>
    <x v="57"/>
    <x v="3"/>
    <x v="3"/>
    <x v="5"/>
    <x v="4"/>
    <x v="0"/>
    <x v="31"/>
    <x v="30"/>
    <x v="1"/>
    <x v="1"/>
  </r>
  <r>
    <x v="179"/>
    <x v="35"/>
    <x v="2"/>
    <x v="3"/>
    <x v="4"/>
    <x v="3"/>
    <x v="0"/>
    <x v="16"/>
    <x v="16"/>
    <x v="1"/>
    <x v="0"/>
  </r>
  <r>
    <x v="420"/>
    <x v="82"/>
    <x v="3"/>
    <x v="0"/>
    <x v="23"/>
    <x v="5"/>
    <x v="0"/>
    <x v="160"/>
    <x v="151"/>
    <x v="1"/>
    <x v="1"/>
  </r>
  <r>
    <x v="242"/>
    <x v="47"/>
    <x v="3"/>
    <x v="0"/>
    <x v="11"/>
    <x v="3"/>
    <x v="0"/>
    <x v="43"/>
    <x v="42"/>
    <x v="0"/>
    <x v="1"/>
  </r>
  <r>
    <x v="572"/>
    <x v="102"/>
    <x v="1"/>
    <x v="3"/>
    <x v="4"/>
    <x v="9"/>
    <x v="0"/>
    <x v="18"/>
    <x v="18"/>
    <x v="1"/>
    <x v="0"/>
  </r>
  <r>
    <x v="953"/>
    <x v="180"/>
    <x v="2"/>
    <x v="4"/>
    <x v="1"/>
    <x v="9"/>
    <x v="0"/>
    <x v="247"/>
    <x v="235"/>
    <x v="0"/>
    <x v="2"/>
  </r>
  <r>
    <x v="732"/>
    <x v="136"/>
    <x v="2"/>
    <x v="3"/>
    <x v="3"/>
    <x v="4"/>
    <x v="0"/>
    <x v="155"/>
    <x v="146"/>
    <x v="1"/>
    <x v="1"/>
  </r>
  <r>
    <x v="717"/>
    <x v="133"/>
    <x v="3"/>
    <x v="4"/>
    <x v="15"/>
    <x v="7"/>
    <x v="2"/>
    <x v="350"/>
    <x v="467"/>
    <x v="1"/>
    <x v="1"/>
  </r>
  <r>
    <x v="836"/>
    <x v="156"/>
    <x v="2"/>
    <x v="2"/>
    <x v="19"/>
    <x v="1"/>
    <x v="0"/>
    <x v="233"/>
    <x v="219"/>
    <x v="0"/>
    <x v="0"/>
  </r>
  <r>
    <x v="770"/>
    <x v="142"/>
    <x v="2"/>
    <x v="2"/>
    <x v="17"/>
    <x v="6"/>
    <x v="0"/>
    <x v="29"/>
    <x v="28"/>
    <x v="0"/>
    <x v="1"/>
  </r>
  <r>
    <x v="540"/>
    <x v="96"/>
    <x v="2"/>
    <x v="3"/>
    <x v="4"/>
    <x v="0"/>
    <x v="0"/>
    <x v="16"/>
    <x v="16"/>
    <x v="1"/>
    <x v="1"/>
  </r>
  <r>
    <x v="791"/>
    <x v="147"/>
    <x v="4"/>
    <x v="0"/>
    <x v="14"/>
    <x v="5"/>
    <x v="0"/>
    <x v="90"/>
    <x v="86"/>
    <x v="1"/>
    <x v="2"/>
  </r>
  <r>
    <x v="395"/>
    <x v="79"/>
    <x v="2"/>
    <x v="0"/>
    <x v="11"/>
    <x v="5"/>
    <x v="0"/>
    <x v="57"/>
    <x v="55"/>
    <x v="0"/>
    <x v="1"/>
  </r>
  <r>
    <x v="694"/>
    <x v="128"/>
    <x v="2"/>
    <x v="3"/>
    <x v="5"/>
    <x v="7"/>
    <x v="0"/>
    <x v="34"/>
    <x v="33"/>
    <x v="1"/>
    <x v="1"/>
  </r>
  <r>
    <x v="367"/>
    <x v="74"/>
    <x v="3"/>
    <x v="0"/>
    <x v="23"/>
    <x v="3"/>
    <x v="1"/>
    <x v="168"/>
    <x v="282"/>
    <x v="0"/>
    <x v="1"/>
  </r>
  <r>
    <x v="673"/>
    <x v="123"/>
    <x v="2"/>
    <x v="3"/>
    <x v="16"/>
    <x v="2"/>
    <x v="0"/>
    <x v="107"/>
    <x v="102"/>
    <x v="1"/>
    <x v="0"/>
  </r>
  <r>
    <x v="15"/>
    <x v="2"/>
    <x v="2"/>
    <x v="4"/>
    <x v="22"/>
    <x v="8"/>
    <x v="1"/>
    <x v="284"/>
    <x v="416"/>
    <x v="1"/>
    <x v="1"/>
  </r>
  <r>
    <x v="399"/>
    <x v="80"/>
    <x v="3"/>
    <x v="4"/>
    <x v="1"/>
    <x v="4"/>
    <x v="1"/>
    <x v="243"/>
    <x v="314"/>
    <x v="1"/>
    <x v="1"/>
  </r>
  <r>
    <x v="563"/>
    <x v="100"/>
    <x v="4"/>
    <x v="3"/>
    <x v="20"/>
    <x v="0"/>
    <x v="1"/>
    <x v="4"/>
    <x v="58"/>
    <x v="0"/>
    <x v="1"/>
  </r>
  <r>
    <x v="365"/>
    <x v="73"/>
    <x v="4"/>
    <x v="3"/>
    <x v="20"/>
    <x v="3"/>
    <x v="0"/>
    <x v="6"/>
    <x v="6"/>
    <x v="1"/>
    <x v="1"/>
  </r>
  <r>
    <x v="485"/>
    <x v="90"/>
    <x v="0"/>
    <x v="3"/>
    <x v="16"/>
    <x v="9"/>
    <x v="0"/>
    <x v="107"/>
    <x v="102"/>
    <x v="1"/>
    <x v="2"/>
  </r>
  <r>
    <x v="758"/>
    <x v="141"/>
    <x v="1"/>
    <x v="3"/>
    <x v="4"/>
    <x v="5"/>
    <x v="0"/>
    <x v="14"/>
    <x v="14"/>
    <x v="0"/>
    <x v="1"/>
  </r>
  <r>
    <x v="909"/>
    <x v="170"/>
    <x v="4"/>
    <x v="1"/>
    <x v="13"/>
    <x v="1"/>
    <x v="1"/>
    <x v="372"/>
    <x v="478"/>
    <x v="0"/>
    <x v="0"/>
  </r>
  <r>
    <x v="330"/>
    <x v="66"/>
    <x v="4"/>
    <x v="4"/>
    <x v="15"/>
    <x v="1"/>
    <x v="0"/>
    <x v="355"/>
    <x v="403"/>
    <x v="0"/>
    <x v="1"/>
  </r>
  <r>
    <x v="947"/>
    <x v="178"/>
    <x v="0"/>
    <x v="1"/>
    <x v="13"/>
    <x v="6"/>
    <x v="0"/>
    <x v="394"/>
    <x v="456"/>
    <x v="1"/>
    <x v="1"/>
  </r>
  <r>
    <x v="441"/>
    <x v="85"/>
    <x v="0"/>
    <x v="3"/>
    <x v="5"/>
    <x v="5"/>
    <x v="1"/>
    <x v="38"/>
    <x v="160"/>
    <x v="1"/>
    <x v="1"/>
  </r>
  <r>
    <x v="507"/>
    <x v="92"/>
    <x v="3"/>
    <x v="2"/>
    <x v="19"/>
    <x v="9"/>
    <x v="0"/>
    <x v="238"/>
    <x v="225"/>
    <x v="0"/>
    <x v="2"/>
  </r>
  <r>
    <x v="656"/>
    <x v="120"/>
    <x v="1"/>
    <x v="3"/>
    <x v="5"/>
    <x v="4"/>
    <x v="0"/>
    <x v="37"/>
    <x v="36"/>
    <x v="0"/>
    <x v="0"/>
  </r>
  <r>
    <x v="147"/>
    <x v="27"/>
    <x v="4"/>
    <x v="0"/>
    <x v="23"/>
    <x v="1"/>
    <x v="3"/>
    <x v="155"/>
    <x v="343"/>
    <x v="1"/>
    <x v="1"/>
  </r>
  <r>
    <x v="186"/>
    <x v="36"/>
    <x v="2"/>
    <x v="2"/>
    <x v="10"/>
    <x v="9"/>
    <x v="0"/>
    <x v="64"/>
    <x v="62"/>
    <x v="1"/>
    <x v="0"/>
  </r>
  <r>
    <x v="700"/>
    <x v="129"/>
    <x v="2"/>
    <x v="4"/>
    <x v="21"/>
    <x v="1"/>
    <x v="0"/>
    <x v="337"/>
    <x v="390"/>
    <x v="1"/>
    <x v="1"/>
  </r>
  <r>
    <x v="318"/>
    <x v="64"/>
    <x v="1"/>
    <x v="2"/>
    <x v="10"/>
    <x v="5"/>
    <x v="1"/>
    <x v="66"/>
    <x v="201"/>
    <x v="1"/>
    <x v="0"/>
  </r>
  <r>
    <x v="491"/>
    <x v="90"/>
    <x v="3"/>
    <x v="3"/>
    <x v="20"/>
    <x v="8"/>
    <x v="1"/>
    <x v="0"/>
    <x v="50"/>
    <x v="0"/>
    <x v="1"/>
  </r>
  <r>
    <x v="277"/>
    <x v="55"/>
    <x v="3"/>
    <x v="3"/>
    <x v="4"/>
    <x v="6"/>
    <x v="0"/>
    <x v="11"/>
    <x v="11"/>
    <x v="1"/>
    <x v="1"/>
  </r>
  <r>
    <x v="830"/>
    <x v="154"/>
    <x v="0"/>
    <x v="1"/>
    <x v="18"/>
    <x v="7"/>
    <x v="2"/>
    <x v="414"/>
    <x v="514"/>
    <x v="1"/>
    <x v="2"/>
  </r>
  <r>
    <x v="138"/>
    <x v="26"/>
    <x v="3"/>
    <x v="2"/>
    <x v="10"/>
    <x v="2"/>
    <x v="0"/>
    <x v="61"/>
    <x v="59"/>
    <x v="0"/>
    <x v="1"/>
  </r>
  <r>
    <x v="54"/>
    <x v="10"/>
    <x v="2"/>
    <x v="0"/>
    <x v="14"/>
    <x v="8"/>
    <x v="0"/>
    <x v="83"/>
    <x v="80"/>
    <x v="0"/>
    <x v="1"/>
  </r>
  <r>
    <x v="804"/>
    <x v="149"/>
    <x v="2"/>
    <x v="0"/>
    <x v="23"/>
    <x v="2"/>
    <x v="0"/>
    <x v="160"/>
    <x v="151"/>
    <x v="1"/>
    <x v="1"/>
  </r>
  <r>
    <x v="216"/>
    <x v="43"/>
    <x v="2"/>
    <x v="4"/>
    <x v="15"/>
    <x v="7"/>
    <x v="1"/>
    <x v="364"/>
    <x v="440"/>
    <x v="1"/>
    <x v="2"/>
  </r>
  <r>
    <x v="482"/>
    <x v="89"/>
    <x v="2"/>
    <x v="2"/>
    <x v="17"/>
    <x v="6"/>
    <x v="0"/>
    <x v="28"/>
    <x v="27"/>
    <x v="0"/>
    <x v="1"/>
  </r>
  <r>
    <x v="51"/>
    <x v="9"/>
    <x v="2"/>
    <x v="0"/>
    <x v="23"/>
    <x v="4"/>
    <x v="0"/>
    <x v="156"/>
    <x v="147"/>
    <x v="1"/>
    <x v="1"/>
  </r>
  <r>
    <x v="611"/>
    <x v="110"/>
    <x v="0"/>
    <x v="3"/>
    <x v="3"/>
    <x v="5"/>
    <x v="1"/>
    <x v="160"/>
    <x v="275"/>
    <x v="0"/>
    <x v="2"/>
  </r>
  <r>
    <x v="861"/>
    <x v="160"/>
    <x v="2"/>
    <x v="0"/>
    <x v="14"/>
    <x v="3"/>
    <x v="0"/>
    <x v="92"/>
    <x v="88"/>
    <x v="0"/>
    <x v="1"/>
  </r>
  <r>
    <x v="729"/>
    <x v="135"/>
    <x v="3"/>
    <x v="3"/>
    <x v="20"/>
    <x v="5"/>
    <x v="1"/>
    <x v="7"/>
    <x v="63"/>
    <x v="1"/>
    <x v="2"/>
  </r>
  <r>
    <x v="22"/>
    <x v="3"/>
    <x v="1"/>
    <x v="3"/>
    <x v="16"/>
    <x v="6"/>
    <x v="0"/>
    <x v="103"/>
    <x v="98"/>
    <x v="0"/>
    <x v="1"/>
  </r>
  <r>
    <x v="869"/>
    <x v="162"/>
    <x v="3"/>
    <x v="3"/>
    <x v="3"/>
    <x v="7"/>
    <x v="0"/>
    <x v="159"/>
    <x v="150"/>
    <x v="0"/>
    <x v="2"/>
  </r>
  <r>
    <x v="896"/>
    <x v="168"/>
    <x v="0"/>
    <x v="0"/>
    <x v="11"/>
    <x v="0"/>
    <x v="0"/>
    <x v="48"/>
    <x v="46"/>
    <x v="0"/>
    <x v="1"/>
  </r>
  <r>
    <x v="426"/>
    <x v="83"/>
    <x v="4"/>
    <x v="3"/>
    <x v="4"/>
    <x v="7"/>
    <x v="0"/>
    <x v="13"/>
    <x v="13"/>
    <x v="0"/>
    <x v="1"/>
  </r>
  <r>
    <x v="600"/>
    <x v="108"/>
    <x v="1"/>
    <x v="4"/>
    <x v="22"/>
    <x v="8"/>
    <x v="0"/>
    <x v="284"/>
    <x v="347"/>
    <x v="0"/>
    <x v="1"/>
  </r>
  <r>
    <x v="938"/>
    <x v="176"/>
    <x v="3"/>
    <x v="1"/>
    <x v="13"/>
    <x v="6"/>
    <x v="2"/>
    <x v="387"/>
    <x v="513"/>
    <x v="0"/>
    <x v="0"/>
  </r>
  <r>
    <x v="113"/>
    <x v="21"/>
    <x v="3"/>
    <x v="2"/>
    <x v="7"/>
    <x v="0"/>
    <x v="3"/>
    <x v="215"/>
    <x v="386"/>
    <x v="1"/>
    <x v="1"/>
  </r>
  <r>
    <x v="936"/>
    <x v="176"/>
    <x v="3"/>
    <x v="3"/>
    <x v="5"/>
    <x v="8"/>
    <x v="0"/>
    <x v="30"/>
    <x v="29"/>
    <x v="1"/>
    <x v="1"/>
  </r>
  <r>
    <x v="891"/>
    <x v="166"/>
    <x v="4"/>
    <x v="3"/>
    <x v="4"/>
    <x v="8"/>
    <x v="0"/>
    <x v="17"/>
    <x v="17"/>
    <x v="1"/>
    <x v="0"/>
  </r>
  <r>
    <x v="553"/>
    <x v="99"/>
    <x v="3"/>
    <x v="0"/>
    <x v="9"/>
    <x v="4"/>
    <x v="0"/>
    <x v="128"/>
    <x v="120"/>
    <x v="0"/>
    <x v="2"/>
  </r>
  <r>
    <x v="801"/>
    <x v="149"/>
    <x v="2"/>
    <x v="3"/>
    <x v="3"/>
    <x v="5"/>
    <x v="0"/>
    <x v="158"/>
    <x v="149"/>
    <x v="1"/>
    <x v="2"/>
  </r>
  <r>
    <x v="209"/>
    <x v="41"/>
    <x v="2"/>
    <x v="2"/>
    <x v="17"/>
    <x v="1"/>
    <x v="3"/>
    <x v="31"/>
    <x v="271"/>
    <x v="1"/>
    <x v="1"/>
  </r>
  <r>
    <x v="613"/>
    <x v="111"/>
    <x v="3"/>
    <x v="4"/>
    <x v="1"/>
    <x v="8"/>
    <x v="0"/>
    <x v="252"/>
    <x v="239"/>
    <x v="1"/>
    <x v="0"/>
  </r>
  <r>
    <x v="142"/>
    <x v="26"/>
    <x v="3"/>
    <x v="3"/>
    <x v="5"/>
    <x v="5"/>
    <x v="0"/>
    <x v="35"/>
    <x v="34"/>
    <x v="1"/>
    <x v="2"/>
  </r>
  <r>
    <x v="50"/>
    <x v="9"/>
    <x v="3"/>
    <x v="0"/>
    <x v="14"/>
    <x v="1"/>
    <x v="0"/>
    <x v="88"/>
    <x v="84"/>
    <x v="1"/>
    <x v="0"/>
  </r>
  <r>
    <x v="755"/>
    <x v="140"/>
    <x v="2"/>
    <x v="1"/>
    <x v="18"/>
    <x v="9"/>
    <x v="0"/>
    <x v="403"/>
    <x v="465"/>
    <x v="1"/>
    <x v="2"/>
  </r>
  <r>
    <x v="166"/>
    <x v="32"/>
    <x v="1"/>
    <x v="0"/>
    <x v="11"/>
    <x v="1"/>
    <x v="1"/>
    <x v="52"/>
    <x v="181"/>
    <x v="0"/>
    <x v="1"/>
  </r>
  <r>
    <x v="500"/>
    <x v="91"/>
    <x v="4"/>
    <x v="2"/>
    <x v="17"/>
    <x v="1"/>
    <x v="0"/>
    <x v="24"/>
    <x v="23"/>
    <x v="0"/>
    <x v="1"/>
  </r>
  <r>
    <x v="682"/>
    <x v="126"/>
    <x v="0"/>
    <x v="4"/>
    <x v="22"/>
    <x v="6"/>
    <x v="0"/>
    <x v="293"/>
    <x v="352"/>
    <x v="0"/>
    <x v="1"/>
  </r>
  <r>
    <x v="493"/>
    <x v="91"/>
    <x v="3"/>
    <x v="0"/>
    <x v="6"/>
    <x v="8"/>
    <x v="0"/>
    <x v="82"/>
    <x v="79"/>
    <x v="0"/>
    <x v="2"/>
  </r>
  <r>
    <x v="81"/>
    <x v="15"/>
    <x v="1"/>
    <x v="1"/>
    <x v="2"/>
    <x v="3"/>
    <x v="0"/>
    <x v="193"/>
    <x v="179"/>
    <x v="0"/>
    <x v="1"/>
  </r>
  <r>
    <x v="565"/>
    <x v="101"/>
    <x v="3"/>
    <x v="1"/>
    <x v="8"/>
    <x v="0"/>
    <x v="1"/>
    <x v="137"/>
    <x v="265"/>
    <x v="0"/>
    <x v="0"/>
  </r>
  <r>
    <x v="408"/>
    <x v="81"/>
    <x v="0"/>
    <x v="2"/>
    <x v="17"/>
    <x v="7"/>
    <x v="0"/>
    <x v="23"/>
    <x v="22"/>
    <x v="0"/>
    <x v="0"/>
  </r>
  <r>
    <x v="270"/>
    <x v="54"/>
    <x v="2"/>
    <x v="1"/>
    <x v="13"/>
    <x v="5"/>
    <x v="0"/>
    <x v="389"/>
    <x v="451"/>
    <x v="1"/>
    <x v="1"/>
  </r>
  <r>
    <x v="658"/>
    <x v="120"/>
    <x v="2"/>
    <x v="3"/>
    <x v="3"/>
    <x v="8"/>
    <x v="0"/>
    <x v="160"/>
    <x v="151"/>
    <x v="1"/>
    <x v="0"/>
  </r>
  <r>
    <x v="523"/>
    <x v="94"/>
    <x v="4"/>
    <x v="2"/>
    <x v="19"/>
    <x v="7"/>
    <x v="1"/>
    <x v="220"/>
    <x v="306"/>
    <x v="1"/>
    <x v="0"/>
  </r>
  <r>
    <x v="649"/>
    <x v="118"/>
    <x v="0"/>
    <x v="1"/>
    <x v="12"/>
    <x v="7"/>
    <x v="2"/>
    <x v="422"/>
    <x v="519"/>
    <x v="1"/>
    <x v="1"/>
  </r>
  <r>
    <x v="863"/>
    <x v="161"/>
    <x v="2"/>
    <x v="2"/>
    <x v="7"/>
    <x v="5"/>
    <x v="0"/>
    <x v="203"/>
    <x v="190"/>
    <x v="1"/>
    <x v="2"/>
  </r>
  <r>
    <x v="66"/>
    <x v="12"/>
    <x v="1"/>
    <x v="4"/>
    <x v="15"/>
    <x v="4"/>
    <x v="0"/>
    <x v="346"/>
    <x v="397"/>
    <x v="1"/>
    <x v="1"/>
  </r>
  <r>
    <x v="350"/>
    <x v="70"/>
    <x v="2"/>
    <x v="0"/>
    <x v="14"/>
    <x v="7"/>
    <x v="0"/>
    <x v="82"/>
    <x v="79"/>
    <x v="0"/>
    <x v="0"/>
  </r>
  <r>
    <x v="316"/>
    <x v="64"/>
    <x v="3"/>
    <x v="0"/>
    <x v="6"/>
    <x v="3"/>
    <x v="2"/>
    <x v="72"/>
    <x v="272"/>
    <x v="0"/>
    <x v="0"/>
  </r>
  <r>
    <x v="505"/>
    <x v="92"/>
    <x v="4"/>
    <x v="0"/>
    <x v="11"/>
    <x v="5"/>
    <x v="0"/>
    <x v="54"/>
    <x v="52"/>
    <x v="1"/>
    <x v="1"/>
  </r>
  <r>
    <x v="652"/>
    <x v="119"/>
    <x v="2"/>
    <x v="2"/>
    <x v="10"/>
    <x v="2"/>
    <x v="0"/>
    <x v="59"/>
    <x v="57"/>
    <x v="0"/>
    <x v="0"/>
  </r>
  <r>
    <x v="471"/>
    <x v="88"/>
    <x v="4"/>
    <x v="0"/>
    <x v="11"/>
    <x v="2"/>
    <x v="2"/>
    <x v="52"/>
    <x v="261"/>
    <x v="1"/>
    <x v="0"/>
  </r>
  <r>
    <x v="64"/>
    <x v="12"/>
    <x v="2"/>
    <x v="4"/>
    <x v="15"/>
    <x v="2"/>
    <x v="0"/>
    <x v="357"/>
    <x v="404"/>
    <x v="1"/>
    <x v="2"/>
  </r>
  <r>
    <x v="618"/>
    <x v="112"/>
    <x v="3"/>
    <x v="0"/>
    <x v="9"/>
    <x v="5"/>
    <x v="1"/>
    <x v="116"/>
    <x v="254"/>
    <x v="1"/>
    <x v="2"/>
  </r>
  <r>
    <x v="264"/>
    <x v="53"/>
    <x v="4"/>
    <x v="3"/>
    <x v="3"/>
    <x v="6"/>
    <x v="0"/>
    <x v="147"/>
    <x v="138"/>
    <x v="1"/>
    <x v="0"/>
  </r>
  <r>
    <x v="403"/>
    <x v="80"/>
    <x v="4"/>
    <x v="2"/>
    <x v="10"/>
    <x v="3"/>
    <x v="0"/>
    <x v="63"/>
    <x v="61"/>
    <x v="0"/>
    <x v="1"/>
  </r>
  <r>
    <x v="423"/>
    <x v="82"/>
    <x v="0"/>
    <x v="3"/>
    <x v="4"/>
    <x v="1"/>
    <x v="0"/>
    <x v="18"/>
    <x v="18"/>
    <x v="0"/>
    <x v="0"/>
  </r>
  <r>
    <x v="616"/>
    <x v="112"/>
    <x v="2"/>
    <x v="3"/>
    <x v="5"/>
    <x v="7"/>
    <x v="0"/>
    <x v="39"/>
    <x v="38"/>
    <x v="1"/>
    <x v="1"/>
  </r>
  <r>
    <x v="20"/>
    <x v="3"/>
    <x v="1"/>
    <x v="3"/>
    <x v="20"/>
    <x v="2"/>
    <x v="0"/>
    <x v="7"/>
    <x v="7"/>
    <x v="1"/>
    <x v="0"/>
  </r>
  <r>
    <x v="336"/>
    <x v="67"/>
    <x v="2"/>
    <x v="2"/>
    <x v="7"/>
    <x v="8"/>
    <x v="2"/>
    <x v="213"/>
    <x v="326"/>
    <x v="1"/>
    <x v="2"/>
  </r>
  <r>
    <x v="733"/>
    <x v="136"/>
    <x v="0"/>
    <x v="1"/>
    <x v="2"/>
    <x v="5"/>
    <x v="0"/>
    <x v="177"/>
    <x v="167"/>
    <x v="0"/>
    <x v="1"/>
  </r>
  <r>
    <x v="857"/>
    <x v="160"/>
    <x v="1"/>
    <x v="3"/>
    <x v="4"/>
    <x v="5"/>
    <x v="0"/>
    <x v="19"/>
    <x v="19"/>
    <x v="1"/>
    <x v="2"/>
  </r>
  <r>
    <x v="793"/>
    <x v="147"/>
    <x v="2"/>
    <x v="3"/>
    <x v="4"/>
    <x v="7"/>
    <x v="0"/>
    <x v="16"/>
    <x v="16"/>
    <x v="0"/>
    <x v="1"/>
  </r>
  <r>
    <x v="499"/>
    <x v="91"/>
    <x v="0"/>
    <x v="0"/>
    <x v="23"/>
    <x v="9"/>
    <x v="0"/>
    <x v="159"/>
    <x v="150"/>
    <x v="1"/>
    <x v="1"/>
  </r>
  <r>
    <x v="261"/>
    <x v="52"/>
    <x v="3"/>
    <x v="0"/>
    <x v="9"/>
    <x v="6"/>
    <x v="0"/>
    <x v="121"/>
    <x v="113"/>
    <x v="0"/>
    <x v="0"/>
  </r>
  <r>
    <x v="623"/>
    <x v="113"/>
    <x v="3"/>
    <x v="3"/>
    <x v="5"/>
    <x v="1"/>
    <x v="3"/>
    <x v="33"/>
    <x v="274"/>
    <x v="1"/>
    <x v="1"/>
  </r>
  <r>
    <x v="449"/>
    <x v="86"/>
    <x v="0"/>
    <x v="0"/>
    <x v="11"/>
    <x v="1"/>
    <x v="0"/>
    <x v="44"/>
    <x v="43"/>
    <x v="0"/>
    <x v="0"/>
  </r>
  <r>
    <x v="544"/>
    <x v="97"/>
    <x v="3"/>
    <x v="3"/>
    <x v="3"/>
    <x v="1"/>
    <x v="0"/>
    <x v="165"/>
    <x v="156"/>
    <x v="1"/>
    <x v="2"/>
  </r>
  <r>
    <x v="877"/>
    <x v="163"/>
    <x v="4"/>
    <x v="3"/>
    <x v="4"/>
    <x v="2"/>
    <x v="0"/>
    <x v="11"/>
    <x v="11"/>
    <x v="1"/>
    <x v="1"/>
  </r>
  <r>
    <x v="188"/>
    <x v="36"/>
    <x v="2"/>
    <x v="4"/>
    <x v="21"/>
    <x v="9"/>
    <x v="1"/>
    <x v="312"/>
    <x v="427"/>
    <x v="1"/>
    <x v="2"/>
  </r>
  <r>
    <x v="251"/>
    <x v="50"/>
    <x v="3"/>
    <x v="0"/>
    <x v="14"/>
    <x v="8"/>
    <x v="1"/>
    <x v="92"/>
    <x v="239"/>
    <x v="0"/>
    <x v="0"/>
  </r>
  <r>
    <x v="71"/>
    <x v="13"/>
    <x v="4"/>
    <x v="4"/>
    <x v="15"/>
    <x v="3"/>
    <x v="0"/>
    <x v="345"/>
    <x v="396"/>
    <x v="0"/>
    <x v="0"/>
  </r>
  <r>
    <x v="451"/>
    <x v="86"/>
    <x v="4"/>
    <x v="0"/>
    <x v="14"/>
    <x v="1"/>
    <x v="0"/>
    <x v="80"/>
    <x v="77"/>
    <x v="1"/>
    <x v="1"/>
  </r>
  <r>
    <x v="473"/>
    <x v="88"/>
    <x v="0"/>
    <x v="0"/>
    <x v="14"/>
    <x v="4"/>
    <x v="0"/>
    <x v="87"/>
    <x v="83"/>
    <x v="1"/>
    <x v="0"/>
  </r>
  <r>
    <x v="943"/>
    <x v="177"/>
    <x v="3"/>
    <x v="0"/>
    <x v="11"/>
    <x v="4"/>
    <x v="0"/>
    <x v="48"/>
    <x v="46"/>
    <x v="0"/>
    <x v="1"/>
  </r>
  <r>
    <x v="650"/>
    <x v="118"/>
    <x v="4"/>
    <x v="3"/>
    <x v="4"/>
    <x v="4"/>
    <x v="0"/>
    <x v="14"/>
    <x v="14"/>
    <x v="1"/>
    <x v="0"/>
  </r>
  <r>
    <x v="324"/>
    <x v="65"/>
    <x v="2"/>
    <x v="2"/>
    <x v="17"/>
    <x v="3"/>
    <x v="0"/>
    <x v="25"/>
    <x v="24"/>
    <x v="0"/>
    <x v="2"/>
  </r>
  <r>
    <x v="594"/>
    <x v="107"/>
    <x v="4"/>
    <x v="1"/>
    <x v="13"/>
    <x v="0"/>
    <x v="3"/>
    <x v="385"/>
    <x v="515"/>
    <x v="0"/>
    <x v="1"/>
  </r>
  <r>
    <x v="889"/>
    <x v="166"/>
    <x v="4"/>
    <x v="4"/>
    <x v="15"/>
    <x v="7"/>
    <x v="1"/>
    <x v="349"/>
    <x v="435"/>
    <x v="1"/>
    <x v="1"/>
  </r>
  <r>
    <x v="344"/>
    <x v="69"/>
    <x v="3"/>
    <x v="4"/>
    <x v="21"/>
    <x v="1"/>
    <x v="0"/>
    <x v="328"/>
    <x v="379"/>
    <x v="1"/>
    <x v="1"/>
  </r>
  <r>
    <x v="531"/>
    <x v="95"/>
    <x v="2"/>
    <x v="0"/>
    <x v="14"/>
    <x v="2"/>
    <x v="0"/>
    <x v="90"/>
    <x v="86"/>
    <x v="1"/>
    <x v="2"/>
  </r>
  <r>
    <x v="852"/>
    <x v="159"/>
    <x v="2"/>
    <x v="3"/>
    <x v="4"/>
    <x v="6"/>
    <x v="0"/>
    <x v="16"/>
    <x v="16"/>
    <x v="1"/>
    <x v="1"/>
  </r>
  <r>
    <x v="442"/>
    <x v="85"/>
    <x v="4"/>
    <x v="0"/>
    <x v="14"/>
    <x v="1"/>
    <x v="0"/>
    <x v="79"/>
    <x v="76"/>
    <x v="1"/>
    <x v="1"/>
  </r>
  <r>
    <x v="785"/>
    <x v="146"/>
    <x v="3"/>
    <x v="1"/>
    <x v="18"/>
    <x v="6"/>
    <x v="0"/>
    <x v="404"/>
    <x v="466"/>
    <x v="1"/>
    <x v="1"/>
  </r>
  <r>
    <x v="867"/>
    <x v="162"/>
    <x v="4"/>
    <x v="1"/>
    <x v="8"/>
    <x v="9"/>
    <x v="1"/>
    <x v="134"/>
    <x v="263"/>
    <x v="1"/>
    <x v="2"/>
  </r>
  <r>
    <x v="702"/>
    <x v="130"/>
    <x v="0"/>
    <x v="1"/>
    <x v="8"/>
    <x v="2"/>
    <x v="0"/>
    <x v="138"/>
    <x v="129"/>
    <x v="1"/>
    <x v="1"/>
  </r>
  <r>
    <x v="577"/>
    <x v="104"/>
    <x v="4"/>
    <x v="2"/>
    <x v="7"/>
    <x v="8"/>
    <x v="0"/>
    <x v="209"/>
    <x v="196"/>
    <x v="0"/>
    <x v="0"/>
  </r>
  <r>
    <x v="914"/>
    <x v="171"/>
    <x v="1"/>
    <x v="0"/>
    <x v="11"/>
    <x v="9"/>
    <x v="1"/>
    <x v="44"/>
    <x v="171"/>
    <x v="1"/>
    <x v="1"/>
  </r>
  <r>
    <x v="642"/>
    <x v="117"/>
    <x v="0"/>
    <x v="4"/>
    <x v="1"/>
    <x v="2"/>
    <x v="0"/>
    <x v="239"/>
    <x v="226"/>
    <x v="1"/>
    <x v="1"/>
  </r>
  <r>
    <x v="562"/>
    <x v="100"/>
    <x v="0"/>
    <x v="4"/>
    <x v="21"/>
    <x v="8"/>
    <x v="0"/>
    <x v="309"/>
    <x v="363"/>
    <x v="1"/>
    <x v="1"/>
  </r>
  <r>
    <x v="218"/>
    <x v="43"/>
    <x v="3"/>
    <x v="3"/>
    <x v="20"/>
    <x v="7"/>
    <x v="0"/>
    <x v="3"/>
    <x v="3"/>
    <x v="1"/>
    <x v="1"/>
  </r>
  <r>
    <x v="239"/>
    <x v="47"/>
    <x v="2"/>
    <x v="4"/>
    <x v="21"/>
    <x v="2"/>
    <x v="0"/>
    <x v="335"/>
    <x v="388"/>
    <x v="1"/>
    <x v="2"/>
  </r>
  <r>
    <x v="908"/>
    <x v="170"/>
    <x v="4"/>
    <x v="0"/>
    <x v="9"/>
    <x v="0"/>
    <x v="0"/>
    <x v="114"/>
    <x v="108"/>
    <x v="1"/>
    <x v="1"/>
  </r>
  <r>
    <x v="773"/>
    <x v="143"/>
    <x v="2"/>
    <x v="3"/>
    <x v="4"/>
    <x v="4"/>
    <x v="0"/>
    <x v="11"/>
    <x v="11"/>
    <x v="1"/>
    <x v="1"/>
  </r>
  <r>
    <x v="192"/>
    <x v="37"/>
    <x v="2"/>
    <x v="3"/>
    <x v="5"/>
    <x v="1"/>
    <x v="0"/>
    <x v="31"/>
    <x v="30"/>
    <x v="0"/>
    <x v="1"/>
  </r>
  <r>
    <x v="435"/>
    <x v="84"/>
    <x v="2"/>
    <x v="3"/>
    <x v="16"/>
    <x v="3"/>
    <x v="0"/>
    <x v="101"/>
    <x v="96"/>
    <x v="1"/>
    <x v="1"/>
  </r>
  <r>
    <x v="191"/>
    <x v="37"/>
    <x v="3"/>
    <x v="2"/>
    <x v="10"/>
    <x v="1"/>
    <x v="1"/>
    <x v="53"/>
    <x v="182"/>
    <x v="0"/>
    <x v="1"/>
  </r>
  <r>
    <x v="581"/>
    <x v="105"/>
    <x v="0"/>
    <x v="1"/>
    <x v="2"/>
    <x v="8"/>
    <x v="0"/>
    <x v="183"/>
    <x v="172"/>
    <x v="1"/>
    <x v="1"/>
  </r>
  <r>
    <x v="492"/>
    <x v="90"/>
    <x v="1"/>
    <x v="1"/>
    <x v="0"/>
    <x v="1"/>
    <x v="1"/>
    <x v="276"/>
    <x v="415"/>
    <x v="0"/>
    <x v="1"/>
  </r>
  <r>
    <x v="132"/>
    <x v="24"/>
    <x v="3"/>
    <x v="3"/>
    <x v="4"/>
    <x v="5"/>
    <x v="0"/>
    <x v="18"/>
    <x v="18"/>
    <x v="0"/>
    <x v="1"/>
  </r>
  <r>
    <x v="328"/>
    <x v="66"/>
    <x v="2"/>
    <x v="0"/>
    <x v="23"/>
    <x v="0"/>
    <x v="0"/>
    <x v="160"/>
    <x v="151"/>
    <x v="0"/>
    <x v="1"/>
  </r>
  <r>
    <x v="252"/>
    <x v="50"/>
    <x v="4"/>
    <x v="4"/>
    <x v="21"/>
    <x v="7"/>
    <x v="0"/>
    <x v="320"/>
    <x v="372"/>
    <x v="1"/>
    <x v="1"/>
  </r>
  <r>
    <x v="641"/>
    <x v="117"/>
    <x v="2"/>
    <x v="3"/>
    <x v="16"/>
    <x v="8"/>
    <x v="0"/>
    <x v="103"/>
    <x v="98"/>
    <x v="0"/>
    <x v="2"/>
  </r>
  <r>
    <x v="263"/>
    <x v="53"/>
    <x v="1"/>
    <x v="3"/>
    <x v="16"/>
    <x v="9"/>
    <x v="0"/>
    <x v="97"/>
    <x v="93"/>
    <x v="1"/>
    <x v="1"/>
  </r>
  <r>
    <x v="70"/>
    <x v="13"/>
    <x v="3"/>
    <x v="4"/>
    <x v="22"/>
    <x v="7"/>
    <x v="1"/>
    <x v="295"/>
    <x v="420"/>
    <x v="0"/>
    <x v="0"/>
  </r>
  <r>
    <x v="272"/>
    <x v="54"/>
    <x v="2"/>
    <x v="0"/>
    <x v="23"/>
    <x v="7"/>
    <x v="0"/>
    <x v="156"/>
    <x v="147"/>
    <x v="1"/>
    <x v="0"/>
  </r>
  <r>
    <x v="465"/>
    <x v="87"/>
    <x v="2"/>
    <x v="1"/>
    <x v="12"/>
    <x v="2"/>
    <x v="0"/>
    <x v="421"/>
    <x v="485"/>
    <x v="1"/>
    <x v="1"/>
  </r>
  <r>
    <x v="115"/>
    <x v="21"/>
    <x v="2"/>
    <x v="3"/>
    <x v="20"/>
    <x v="1"/>
    <x v="1"/>
    <x v="0"/>
    <x v="50"/>
    <x v="0"/>
    <x v="2"/>
  </r>
  <r>
    <x v="916"/>
    <x v="171"/>
    <x v="2"/>
    <x v="2"/>
    <x v="7"/>
    <x v="4"/>
    <x v="0"/>
    <x v="201"/>
    <x v="188"/>
    <x v="1"/>
    <x v="2"/>
  </r>
  <r>
    <x v="674"/>
    <x v="123"/>
    <x v="2"/>
    <x v="1"/>
    <x v="13"/>
    <x v="3"/>
    <x v="1"/>
    <x v="369"/>
    <x v="476"/>
    <x v="1"/>
    <x v="2"/>
  </r>
  <r>
    <x v="924"/>
    <x v="173"/>
    <x v="2"/>
    <x v="0"/>
    <x v="23"/>
    <x v="6"/>
    <x v="1"/>
    <x v="170"/>
    <x v="283"/>
    <x v="1"/>
    <x v="2"/>
  </r>
  <r>
    <x v="592"/>
    <x v="107"/>
    <x v="2"/>
    <x v="3"/>
    <x v="4"/>
    <x v="2"/>
    <x v="2"/>
    <x v="13"/>
    <x v="177"/>
    <x v="0"/>
    <x v="1"/>
  </r>
  <r>
    <x v="812"/>
    <x v="151"/>
    <x v="4"/>
    <x v="2"/>
    <x v="17"/>
    <x v="0"/>
    <x v="0"/>
    <x v="30"/>
    <x v="29"/>
    <x v="0"/>
    <x v="1"/>
  </r>
  <r>
    <x v="397"/>
    <x v="79"/>
    <x v="4"/>
    <x v="2"/>
    <x v="7"/>
    <x v="5"/>
    <x v="0"/>
    <x v="217"/>
    <x v="202"/>
    <x v="0"/>
    <x v="1"/>
  </r>
  <r>
    <x v="945"/>
    <x v="178"/>
    <x v="3"/>
    <x v="4"/>
    <x v="21"/>
    <x v="6"/>
    <x v="0"/>
    <x v="309"/>
    <x v="363"/>
    <x v="1"/>
    <x v="1"/>
  </r>
  <r>
    <x v="278"/>
    <x v="56"/>
    <x v="3"/>
    <x v="3"/>
    <x v="16"/>
    <x v="1"/>
    <x v="0"/>
    <x v="107"/>
    <x v="102"/>
    <x v="0"/>
    <x v="1"/>
  </r>
  <r>
    <x v="619"/>
    <x v="112"/>
    <x v="0"/>
    <x v="2"/>
    <x v="19"/>
    <x v="5"/>
    <x v="2"/>
    <x v="221"/>
    <x v="344"/>
    <x v="0"/>
    <x v="2"/>
  </r>
  <r>
    <x v="2"/>
    <x v="0"/>
    <x v="2"/>
    <x v="2"/>
    <x v="19"/>
    <x v="2"/>
    <x v="0"/>
    <x v="227"/>
    <x v="212"/>
    <x v="1"/>
    <x v="1"/>
  </r>
  <r>
    <x v="229"/>
    <x v="45"/>
    <x v="2"/>
    <x v="0"/>
    <x v="11"/>
    <x v="7"/>
    <x v="1"/>
    <x v="56"/>
    <x v="186"/>
    <x v="1"/>
    <x v="0"/>
  </r>
  <r>
    <x v="384"/>
    <x v="78"/>
    <x v="3"/>
    <x v="2"/>
    <x v="10"/>
    <x v="2"/>
    <x v="1"/>
    <x v="56"/>
    <x v="186"/>
    <x v="1"/>
    <x v="1"/>
  </r>
  <r>
    <x v="409"/>
    <x v="81"/>
    <x v="1"/>
    <x v="2"/>
    <x v="10"/>
    <x v="8"/>
    <x v="0"/>
    <x v="59"/>
    <x v="57"/>
    <x v="1"/>
    <x v="2"/>
  </r>
  <r>
    <x v="817"/>
    <x v="152"/>
    <x v="2"/>
    <x v="3"/>
    <x v="4"/>
    <x v="1"/>
    <x v="0"/>
    <x v="14"/>
    <x v="14"/>
    <x v="0"/>
    <x v="2"/>
  </r>
  <r>
    <x v="199"/>
    <x v="39"/>
    <x v="4"/>
    <x v="4"/>
    <x v="21"/>
    <x v="0"/>
    <x v="0"/>
    <x v="310"/>
    <x v="364"/>
    <x v="1"/>
    <x v="1"/>
  </r>
  <r>
    <x v="809"/>
    <x v="150"/>
    <x v="1"/>
    <x v="3"/>
    <x v="5"/>
    <x v="9"/>
    <x v="0"/>
    <x v="40"/>
    <x v="39"/>
    <x v="0"/>
    <x v="2"/>
  </r>
  <r>
    <x v="760"/>
    <x v="141"/>
    <x v="2"/>
    <x v="3"/>
    <x v="5"/>
    <x v="2"/>
    <x v="0"/>
    <x v="32"/>
    <x v="31"/>
    <x v="1"/>
    <x v="1"/>
  </r>
  <r>
    <x v="65"/>
    <x v="12"/>
    <x v="4"/>
    <x v="4"/>
    <x v="1"/>
    <x v="8"/>
    <x v="0"/>
    <x v="239"/>
    <x v="226"/>
    <x v="1"/>
    <x v="1"/>
  </r>
  <r>
    <x v="422"/>
    <x v="82"/>
    <x v="2"/>
    <x v="0"/>
    <x v="9"/>
    <x v="6"/>
    <x v="0"/>
    <x v="127"/>
    <x v="119"/>
    <x v="1"/>
    <x v="1"/>
  </r>
  <r>
    <x v="503"/>
    <x v="92"/>
    <x v="0"/>
    <x v="0"/>
    <x v="14"/>
    <x v="9"/>
    <x v="0"/>
    <x v="77"/>
    <x v="74"/>
    <x v="0"/>
    <x v="0"/>
  </r>
  <r>
    <x v="709"/>
    <x v="131"/>
    <x v="0"/>
    <x v="3"/>
    <x v="16"/>
    <x v="4"/>
    <x v="0"/>
    <x v="111"/>
    <x v="105"/>
    <x v="1"/>
    <x v="0"/>
  </r>
  <r>
    <x v="509"/>
    <x v="93"/>
    <x v="4"/>
    <x v="1"/>
    <x v="18"/>
    <x v="0"/>
    <x v="1"/>
    <x v="404"/>
    <x v="503"/>
    <x v="1"/>
    <x v="2"/>
  </r>
  <r>
    <x v="635"/>
    <x v="115"/>
    <x v="4"/>
    <x v="0"/>
    <x v="6"/>
    <x v="4"/>
    <x v="2"/>
    <x v="77"/>
    <x v="279"/>
    <x v="1"/>
    <x v="0"/>
  </r>
  <r>
    <x v="653"/>
    <x v="119"/>
    <x v="2"/>
    <x v="0"/>
    <x v="11"/>
    <x v="8"/>
    <x v="0"/>
    <x v="45"/>
    <x v="44"/>
    <x v="0"/>
    <x v="1"/>
  </r>
  <r>
    <x v="472"/>
    <x v="88"/>
    <x v="2"/>
    <x v="0"/>
    <x v="11"/>
    <x v="1"/>
    <x v="0"/>
    <x v="56"/>
    <x v="54"/>
    <x v="0"/>
    <x v="2"/>
  </r>
  <r>
    <x v="273"/>
    <x v="54"/>
    <x v="2"/>
    <x v="0"/>
    <x v="23"/>
    <x v="3"/>
    <x v="0"/>
    <x v="168"/>
    <x v="159"/>
    <x v="0"/>
    <x v="0"/>
  </r>
  <r>
    <x v="663"/>
    <x v="121"/>
    <x v="3"/>
    <x v="4"/>
    <x v="1"/>
    <x v="4"/>
    <x v="0"/>
    <x v="243"/>
    <x v="231"/>
    <x v="1"/>
    <x v="1"/>
  </r>
  <r>
    <x v="792"/>
    <x v="147"/>
    <x v="3"/>
    <x v="2"/>
    <x v="7"/>
    <x v="2"/>
    <x v="1"/>
    <x v="216"/>
    <x v="302"/>
    <x v="1"/>
    <x v="1"/>
  </r>
  <r>
    <x v="798"/>
    <x v="148"/>
    <x v="2"/>
    <x v="3"/>
    <x v="16"/>
    <x v="7"/>
    <x v="1"/>
    <x v="99"/>
    <x v="246"/>
    <x v="0"/>
    <x v="1"/>
  </r>
  <r>
    <x v="724"/>
    <x v="134"/>
    <x v="3"/>
    <x v="2"/>
    <x v="7"/>
    <x v="2"/>
    <x v="0"/>
    <x v="202"/>
    <x v="189"/>
    <x v="1"/>
    <x v="1"/>
  </r>
  <r>
    <x v="177"/>
    <x v="34"/>
    <x v="2"/>
    <x v="3"/>
    <x v="5"/>
    <x v="1"/>
    <x v="0"/>
    <x v="38"/>
    <x v="37"/>
    <x v="1"/>
    <x v="0"/>
  </r>
  <r>
    <x v="300"/>
    <x v="59"/>
    <x v="1"/>
    <x v="0"/>
    <x v="9"/>
    <x v="6"/>
    <x v="0"/>
    <x v="119"/>
    <x v="111"/>
    <x v="0"/>
    <x v="0"/>
  </r>
  <r>
    <x v="37"/>
    <x v="7"/>
    <x v="2"/>
    <x v="0"/>
    <x v="9"/>
    <x v="4"/>
    <x v="1"/>
    <x v="115"/>
    <x v="253"/>
    <x v="1"/>
    <x v="1"/>
  </r>
  <r>
    <x v="202"/>
    <x v="39"/>
    <x v="3"/>
    <x v="2"/>
    <x v="7"/>
    <x v="8"/>
    <x v="1"/>
    <x v="198"/>
    <x v="296"/>
    <x v="0"/>
    <x v="1"/>
  </r>
  <r>
    <x v="236"/>
    <x v="46"/>
    <x v="3"/>
    <x v="2"/>
    <x v="17"/>
    <x v="5"/>
    <x v="0"/>
    <x v="25"/>
    <x v="24"/>
    <x v="0"/>
    <x v="2"/>
  </r>
  <r>
    <x v="149"/>
    <x v="28"/>
    <x v="3"/>
    <x v="0"/>
    <x v="9"/>
    <x v="2"/>
    <x v="1"/>
    <x v="114"/>
    <x v="252"/>
    <x v="0"/>
    <x v="1"/>
  </r>
  <r>
    <x v="217"/>
    <x v="43"/>
    <x v="3"/>
    <x v="4"/>
    <x v="22"/>
    <x v="6"/>
    <x v="0"/>
    <x v="300"/>
    <x v="358"/>
    <x v="1"/>
    <x v="0"/>
  </r>
  <r>
    <x v="643"/>
    <x v="117"/>
    <x v="0"/>
    <x v="4"/>
    <x v="15"/>
    <x v="9"/>
    <x v="0"/>
    <x v="341"/>
    <x v="394"/>
    <x v="1"/>
    <x v="1"/>
  </r>
  <r>
    <x v="362"/>
    <x v="72"/>
    <x v="2"/>
    <x v="3"/>
    <x v="5"/>
    <x v="3"/>
    <x v="0"/>
    <x v="35"/>
    <x v="34"/>
    <x v="1"/>
    <x v="0"/>
  </r>
  <r>
    <x v="671"/>
    <x v="122"/>
    <x v="2"/>
    <x v="4"/>
    <x v="21"/>
    <x v="3"/>
    <x v="0"/>
    <x v="314"/>
    <x v="367"/>
    <x v="1"/>
    <x v="1"/>
  </r>
  <r>
    <x v="580"/>
    <x v="105"/>
    <x v="3"/>
    <x v="1"/>
    <x v="13"/>
    <x v="9"/>
    <x v="0"/>
    <x v="367"/>
    <x v="442"/>
    <x v="1"/>
    <x v="0"/>
  </r>
  <r>
    <x v="705"/>
    <x v="130"/>
    <x v="1"/>
    <x v="2"/>
    <x v="19"/>
    <x v="1"/>
    <x v="0"/>
    <x v="230"/>
    <x v="215"/>
    <x v="0"/>
    <x v="0"/>
  </r>
  <r>
    <x v="302"/>
    <x v="60"/>
    <x v="0"/>
    <x v="0"/>
    <x v="14"/>
    <x v="9"/>
    <x v="0"/>
    <x v="85"/>
    <x v="81"/>
    <x v="1"/>
    <x v="0"/>
  </r>
  <r>
    <x v="846"/>
    <x v="158"/>
    <x v="2"/>
    <x v="4"/>
    <x v="22"/>
    <x v="2"/>
    <x v="0"/>
    <x v="292"/>
    <x v="351"/>
    <x v="1"/>
    <x v="1"/>
  </r>
  <r>
    <x v="874"/>
    <x v="163"/>
    <x v="2"/>
    <x v="4"/>
    <x v="1"/>
    <x v="0"/>
    <x v="0"/>
    <x v="253"/>
    <x v="240"/>
    <x v="0"/>
    <x v="1"/>
  </r>
  <r>
    <x v="696"/>
    <x v="129"/>
    <x v="4"/>
    <x v="0"/>
    <x v="11"/>
    <x v="1"/>
    <x v="0"/>
    <x v="51"/>
    <x v="49"/>
    <x v="1"/>
    <x v="0"/>
  </r>
  <r>
    <x v="881"/>
    <x v="164"/>
    <x v="4"/>
    <x v="1"/>
    <x v="8"/>
    <x v="2"/>
    <x v="0"/>
    <x v="145"/>
    <x v="135"/>
    <x v="1"/>
    <x v="2"/>
  </r>
  <r>
    <x v="901"/>
    <x v="169"/>
    <x v="4"/>
    <x v="1"/>
    <x v="8"/>
    <x v="0"/>
    <x v="0"/>
    <x v="144"/>
    <x v="134"/>
    <x v="1"/>
    <x v="0"/>
  </r>
  <r>
    <x v="504"/>
    <x v="92"/>
    <x v="2"/>
    <x v="0"/>
    <x v="11"/>
    <x v="5"/>
    <x v="2"/>
    <x v="45"/>
    <x v="257"/>
    <x v="0"/>
    <x v="2"/>
  </r>
  <r>
    <x v="459"/>
    <x v="87"/>
    <x v="2"/>
    <x v="1"/>
    <x v="0"/>
    <x v="6"/>
    <x v="0"/>
    <x v="272"/>
    <x v="333"/>
    <x v="1"/>
    <x v="0"/>
  </r>
  <r>
    <x v="352"/>
    <x v="71"/>
    <x v="3"/>
    <x v="0"/>
    <x v="23"/>
    <x v="2"/>
    <x v="0"/>
    <x v="163"/>
    <x v="154"/>
    <x v="0"/>
    <x v="1"/>
  </r>
  <r>
    <x v="193"/>
    <x v="37"/>
    <x v="3"/>
    <x v="3"/>
    <x v="20"/>
    <x v="7"/>
    <x v="2"/>
    <x v="7"/>
    <x v="137"/>
    <x v="1"/>
    <x v="0"/>
  </r>
  <r>
    <x v="235"/>
    <x v="46"/>
    <x v="3"/>
    <x v="4"/>
    <x v="22"/>
    <x v="6"/>
    <x v="0"/>
    <x v="286"/>
    <x v="349"/>
    <x v="1"/>
    <x v="1"/>
  </r>
  <r>
    <x v="856"/>
    <x v="159"/>
    <x v="1"/>
    <x v="3"/>
    <x v="3"/>
    <x v="3"/>
    <x v="0"/>
    <x v="153"/>
    <x v="144"/>
    <x v="0"/>
    <x v="2"/>
  </r>
  <r>
    <x v="795"/>
    <x v="148"/>
    <x v="3"/>
    <x v="0"/>
    <x v="14"/>
    <x v="6"/>
    <x v="1"/>
    <x v="77"/>
    <x v="220"/>
    <x v="1"/>
    <x v="2"/>
  </r>
  <r>
    <x v="55"/>
    <x v="10"/>
    <x v="2"/>
    <x v="3"/>
    <x v="5"/>
    <x v="6"/>
    <x v="1"/>
    <x v="35"/>
    <x v="154"/>
    <x v="1"/>
    <x v="0"/>
  </r>
  <r>
    <x v="794"/>
    <x v="148"/>
    <x v="2"/>
    <x v="0"/>
    <x v="11"/>
    <x v="5"/>
    <x v="0"/>
    <x v="50"/>
    <x v="48"/>
    <x v="1"/>
    <x v="1"/>
  </r>
  <r>
    <x v="96"/>
    <x v="18"/>
    <x v="4"/>
    <x v="3"/>
    <x v="3"/>
    <x v="1"/>
    <x v="0"/>
    <x v="158"/>
    <x v="149"/>
    <x v="0"/>
    <x v="0"/>
  </r>
  <r>
    <x v="141"/>
    <x v="26"/>
    <x v="2"/>
    <x v="2"/>
    <x v="10"/>
    <x v="7"/>
    <x v="0"/>
    <x v="64"/>
    <x v="62"/>
    <x v="1"/>
    <x v="1"/>
  </r>
  <r>
    <x v="664"/>
    <x v="121"/>
    <x v="3"/>
    <x v="0"/>
    <x v="9"/>
    <x v="1"/>
    <x v="0"/>
    <x v="114"/>
    <x v="108"/>
    <x v="1"/>
    <x v="0"/>
  </r>
  <r>
    <x v="820"/>
    <x v="152"/>
    <x v="1"/>
    <x v="4"/>
    <x v="22"/>
    <x v="0"/>
    <x v="0"/>
    <x v="293"/>
    <x v="352"/>
    <x v="0"/>
    <x v="1"/>
  </r>
  <r>
    <x v="514"/>
    <x v="93"/>
    <x v="3"/>
    <x v="0"/>
    <x v="23"/>
    <x v="5"/>
    <x v="0"/>
    <x v="172"/>
    <x v="163"/>
    <x v="0"/>
    <x v="0"/>
  </r>
  <r>
    <x v="541"/>
    <x v="97"/>
    <x v="2"/>
    <x v="4"/>
    <x v="22"/>
    <x v="6"/>
    <x v="0"/>
    <x v="306"/>
    <x v="361"/>
    <x v="0"/>
    <x v="1"/>
  </r>
  <r>
    <x v="120"/>
    <x v="22"/>
    <x v="3"/>
    <x v="1"/>
    <x v="18"/>
    <x v="4"/>
    <x v="1"/>
    <x v="406"/>
    <x v="505"/>
    <x v="1"/>
    <x v="0"/>
  </r>
  <r>
    <x v="568"/>
    <x v="101"/>
    <x v="3"/>
    <x v="0"/>
    <x v="11"/>
    <x v="2"/>
    <x v="1"/>
    <x v="47"/>
    <x v="176"/>
    <x v="0"/>
    <x v="2"/>
  </r>
  <r>
    <x v="695"/>
    <x v="128"/>
    <x v="2"/>
    <x v="1"/>
    <x v="2"/>
    <x v="8"/>
    <x v="0"/>
    <x v="182"/>
    <x v="170"/>
    <x v="1"/>
    <x v="0"/>
  </r>
  <r>
    <x v="62"/>
    <x v="12"/>
    <x v="3"/>
    <x v="3"/>
    <x v="16"/>
    <x v="1"/>
    <x v="0"/>
    <x v="99"/>
    <x v="95"/>
    <x v="0"/>
    <x v="0"/>
  </r>
  <r>
    <x v="723"/>
    <x v="134"/>
    <x v="2"/>
    <x v="1"/>
    <x v="2"/>
    <x v="1"/>
    <x v="1"/>
    <x v="176"/>
    <x v="286"/>
    <x v="1"/>
    <x v="2"/>
  </r>
  <r>
    <x v="689"/>
    <x v="127"/>
    <x v="3"/>
    <x v="3"/>
    <x v="5"/>
    <x v="5"/>
    <x v="0"/>
    <x v="35"/>
    <x v="34"/>
    <x v="1"/>
    <x v="2"/>
  </r>
  <r>
    <x v="3"/>
    <x v="0"/>
    <x v="3"/>
    <x v="0"/>
    <x v="6"/>
    <x v="4"/>
    <x v="0"/>
    <x v="73"/>
    <x v="70"/>
    <x v="0"/>
    <x v="0"/>
  </r>
  <r>
    <x v="58"/>
    <x v="11"/>
    <x v="3"/>
    <x v="1"/>
    <x v="12"/>
    <x v="3"/>
    <x v="0"/>
    <x v="424"/>
    <x v="486"/>
    <x v="1"/>
    <x v="1"/>
  </r>
  <r>
    <x v="223"/>
    <x v="44"/>
    <x v="2"/>
    <x v="1"/>
    <x v="13"/>
    <x v="8"/>
    <x v="0"/>
    <x v="393"/>
    <x v="455"/>
    <x v="0"/>
    <x v="2"/>
  </r>
  <r>
    <x v="585"/>
    <x v="106"/>
    <x v="2"/>
    <x v="2"/>
    <x v="10"/>
    <x v="9"/>
    <x v="0"/>
    <x v="52"/>
    <x v="50"/>
    <x v="1"/>
    <x v="1"/>
  </r>
  <r>
    <x v="101"/>
    <x v="18"/>
    <x v="4"/>
    <x v="0"/>
    <x v="23"/>
    <x v="1"/>
    <x v="0"/>
    <x v="155"/>
    <x v="146"/>
    <x v="1"/>
    <x v="1"/>
  </r>
  <r>
    <x v="685"/>
    <x v="127"/>
    <x v="2"/>
    <x v="0"/>
    <x v="14"/>
    <x v="3"/>
    <x v="2"/>
    <x v="76"/>
    <x v="278"/>
    <x v="1"/>
    <x v="2"/>
  </r>
  <r>
    <x v="221"/>
    <x v="43"/>
    <x v="0"/>
    <x v="4"/>
    <x v="22"/>
    <x v="5"/>
    <x v="0"/>
    <x v="308"/>
    <x v="362"/>
    <x v="1"/>
    <x v="0"/>
  </r>
  <r>
    <x v="870"/>
    <x v="162"/>
    <x v="4"/>
    <x v="2"/>
    <x v="17"/>
    <x v="5"/>
    <x v="1"/>
    <x v="32"/>
    <x v="149"/>
    <x v="0"/>
    <x v="1"/>
  </r>
  <r>
    <x v="4"/>
    <x v="0"/>
    <x v="0"/>
    <x v="4"/>
    <x v="21"/>
    <x v="4"/>
    <x v="0"/>
    <x v="315"/>
    <x v="368"/>
    <x v="1"/>
    <x v="1"/>
  </r>
  <r>
    <x v="52"/>
    <x v="10"/>
    <x v="4"/>
    <x v="2"/>
    <x v="19"/>
    <x v="1"/>
    <x v="0"/>
    <x v="238"/>
    <x v="225"/>
    <x v="1"/>
    <x v="2"/>
  </r>
  <r>
    <x v="17"/>
    <x v="2"/>
    <x v="4"/>
    <x v="4"/>
    <x v="22"/>
    <x v="9"/>
    <x v="0"/>
    <x v="285"/>
    <x v="348"/>
    <x v="1"/>
    <x v="0"/>
  </r>
  <r>
    <x v="708"/>
    <x v="131"/>
    <x v="1"/>
    <x v="3"/>
    <x v="4"/>
    <x v="1"/>
    <x v="0"/>
    <x v="17"/>
    <x v="17"/>
    <x v="0"/>
    <x v="0"/>
  </r>
  <r>
    <x v="306"/>
    <x v="61"/>
    <x v="3"/>
    <x v="4"/>
    <x v="1"/>
    <x v="0"/>
    <x v="1"/>
    <x v="250"/>
    <x v="315"/>
    <x v="1"/>
    <x v="1"/>
  </r>
  <r>
    <x v="865"/>
    <x v="162"/>
    <x v="3"/>
    <x v="0"/>
    <x v="6"/>
    <x v="3"/>
    <x v="0"/>
    <x v="74"/>
    <x v="71"/>
    <x v="0"/>
    <x v="2"/>
  </r>
  <r>
    <x v="155"/>
    <x v="29"/>
    <x v="2"/>
    <x v="0"/>
    <x v="14"/>
    <x v="5"/>
    <x v="0"/>
    <x v="85"/>
    <x v="81"/>
    <x v="1"/>
    <x v="0"/>
  </r>
  <r>
    <x v="582"/>
    <x v="105"/>
    <x v="1"/>
    <x v="2"/>
    <x v="17"/>
    <x v="7"/>
    <x v="1"/>
    <x v="20"/>
    <x v="135"/>
    <x v="1"/>
    <x v="2"/>
  </r>
  <r>
    <x v="644"/>
    <x v="117"/>
    <x v="1"/>
    <x v="0"/>
    <x v="6"/>
    <x v="0"/>
    <x v="0"/>
    <x v="76"/>
    <x v="73"/>
    <x v="0"/>
    <x v="1"/>
  </r>
  <r>
    <x v="248"/>
    <x v="49"/>
    <x v="3"/>
    <x v="4"/>
    <x v="1"/>
    <x v="7"/>
    <x v="1"/>
    <x v="239"/>
    <x v="313"/>
    <x v="0"/>
    <x v="1"/>
  </r>
  <r>
    <x v="249"/>
    <x v="50"/>
    <x v="3"/>
    <x v="4"/>
    <x v="1"/>
    <x v="1"/>
    <x v="3"/>
    <x v="259"/>
    <x v="406"/>
    <x v="0"/>
    <x v="1"/>
  </r>
  <r>
    <x v="358"/>
    <x v="72"/>
    <x v="1"/>
    <x v="3"/>
    <x v="16"/>
    <x v="2"/>
    <x v="0"/>
    <x v="96"/>
    <x v="92"/>
    <x v="0"/>
    <x v="0"/>
  </r>
  <r>
    <x v="578"/>
    <x v="104"/>
    <x v="2"/>
    <x v="3"/>
    <x v="5"/>
    <x v="8"/>
    <x v="0"/>
    <x v="41"/>
    <x v="40"/>
    <x v="1"/>
    <x v="1"/>
  </r>
  <r>
    <x v="776"/>
    <x v="143"/>
    <x v="1"/>
    <x v="1"/>
    <x v="13"/>
    <x v="4"/>
    <x v="0"/>
    <x v="390"/>
    <x v="452"/>
    <x v="1"/>
    <x v="1"/>
  </r>
  <r>
    <x v="807"/>
    <x v="150"/>
    <x v="4"/>
    <x v="3"/>
    <x v="3"/>
    <x v="7"/>
    <x v="0"/>
    <x v="160"/>
    <x v="151"/>
    <x v="1"/>
    <x v="0"/>
  </r>
  <r>
    <x v="30"/>
    <x v="5"/>
    <x v="3"/>
    <x v="2"/>
    <x v="10"/>
    <x v="3"/>
    <x v="0"/>
    <x v="57"/>
    <x v="55"/>
    <x v="1"/>
    <x v="0"/>
  </r>
  <r>
    <x v="480"/>
    <x v="89"/>
    <x v="2"/>
    <x v="2"/>
    <x v="19"/>
    <x v="9"/>
    <x v="0"/>
    <x v="234"/>
    <x v="221"/>
    <x v="1"/>
    <x v="1"/>
  </r>
  <r>
    <x v="918"/>
    <x v="172"/>
    <x v="0"/>
    <x v="2"/>
    <x v="10"/>
    <x v="6"/>
    <x v="0"/>
    <x v="54"/>
    <x v="52"/>
    <x v="1"/>
    <x v="0"/>
  </r>
  <r>
    <x v="117"/>
    <x v="21"/>
    <x v="2"/>
    <x v="2"/>
    <x v="10"/>
    <x v="4"/>
    <x v="1"/>
    <x v="66"/>
    <x v="201"/>
    <x v="0"/>
    <x v="0"/>
  </r>
  <r>
    <x v="487"/>
    <x v="90"/>
    <x v="1"/>
    <x v="2"/>
    <x v="19"/>
    <x v="0"/>
    <x v="0"/>
    <x v="236"/>
    <x v="223"/>
    <x v="1"/>
    <x v="2"/>
  </r>
  <r>
    <x v="116"/>
    <x v="21"/>
    <x v="0"/>
    <x v="4"/>
    <x v="1"/>
    <x v="2"/>
    <x v="2"/>
    <x v="248"/>
    <x v="355"/>
    <x v="1"/>
    <x v="1"/>
  </r>
  <r>
    <x v="626"/>
    <x v="113"/>
    <x v="2"/>
    <x v="3"/>
    <x v="5"/>
    <x v="3"/>
    <x v="0"/>
    <x v="31"/>
    <x v="30"/>
    <x v="1"/>
    <x v="1"/>
  </r>
  <r>
    <x v="777"/>
    <x v="144"/>
    <x v="4"/>
    <x v="0"/>
    <x v="23"/>
    <x v="0"/>
    <x v="0"/>
    <x v="168"/>
    <x v="159"/>
    <x v="0"/>
    <x v="0"/>
  </r>
  <r>
    <x v="291"/>
    <x v="58"/>
    <x v="1"/>
    <x v="2"/>
    <x v="17"/>
    <x v="5"/>
    <x v="0"/>
    <x v="32"/>
    <x v="31"/>
    <x v="1"/>
    <x v="1"/>
  </r>
  <r>
    <x v="27"/>
    <x v="4"/>
    <x v="3"/>
    <x v="3"/>
    <x v="5"/>
    <x v="1"/>
    <x v="3"/>
    <x v="36"/>
    <x v="280"/>
    <x v="0"/>
    <x v="1"/>
  </r>
  <r>
    <x v="381"/>
    <x v="77"/>
    <x v="1"/>
    <x v="4"/>
    <x v="22"/>
    <x v="4"/>
    <x v="1"/>
    <x v="288"/>
    <x v="417"/>
    <x v="0"/>
    <x v="1"/>
  </r>
  <r>
    <x v="307"/>
    <x v="61"/>
    <x v="3"/>
    <x v="0"/>
    <x v="6"/>
    <x v="6"/>
    <x v="0"/>
    <x v="73"/>
    <x v="70"/>
    <x v="1"/>
    <x v="2"/>
  </r>
  <r>
    <x v="454"/>
    <x v="86"/>
    <x v="4"/>
    <x v="1"/>
    <x v="18"/>
    <x v="8"/>
    <x v="1"/>
    <x v="409"/>
    <x v="506"/>
    <x v="0"/>
    <x v="2"/>
  </r>
  <r>
    <x v="564"/>
    <x v="100"/>
    <x v="3"/>
    <x v="3"/>
    <x v="3"/>
    <x v="3"/>
    <x v="0"/>
    <x v="160"/>
    <x v="151"/>
    <x v="0"/>
    <x v="0"/>
  </r>
  <r>
    <x v="200"/>
    <x v="39"/>
    <x v="2"/>
    <x v="0"/>
    <x v="14"/>
    <x v="7"/>
    <x v="1"/>
    <x v="83"/>
    <x v="229"/>
    <x v="1"/>
    <x v="2"/>
  </r>
  <r>
    <x v="542"/>
    <x v="97"/>
    <x v="3"/>
    <x v="2"/>
    <x v="10"/>
    <x v="6"/>
    <x v="0"/>
    <x v="65"/>
    <x v="63"/>
    <x v="1"/>
    <x v="2"/>
  </r>
  <r>
    <x v="385"/>
    <x v="78"/>
    <x v="2"/>
    <x v="3"/>
    <x v="16"/>
    <x v="2"/>
    <x v="0"/>
    <x v="105"/>
    <x v="100"/>
    <x v="0"/>
    <x v="0"/>
  </r>
  <r>
    <x v="829"/>
    <x v="154"/>
    <x v="3"/>
    <x v="3"/>
    <x v="5"/>
    <x v="6"/>
    <x v="1"/>
    <x v="35"/>
    <x v="154"/>
    <x v="0"/>
    <x v="1"/>
  </r>
  <r>
    <x v="765"/>
    <x v="142"/>
    <x v="2"/>
    <x v="3"/>
    <x v="4"/>
    <x v="7"/>
    <x v="0"/>
    <x v="11"/>
    <x v="11"/>
    <x v="1"/>
    <x v="0"/>
  </r>
  <r>
    <x v="862"/>
    <x v="161"/>
    <x v="2"/>
    <x v="3"/>
    <x v="5"/>
    <x v="7"/>
    <x v="0"/>
    <x v="34"/>
    <x v="33"/>
    <x v="1"/>
    <x v="0"/>
  </r>
  <r>
    <x v="757"/>
    <x v="140"/>
    <x v="2"/>
    <x v="0"/>
    <x v="9"/>
    <x v="4"/>
    <x v="0"/>
    <x v="124"/>
    <x v="116"/>
    <x v="1"/>
    <x v="2"/>
  </r>
  <r>
    <x v="736"/>
    <x v="136"/>
    <x v="4"/>
    <x v="1"/>
    <x v="13"/>
    <x v="1"/>
    <x v="0"/>
    <x v="391"/>
    <x v="453"/>
    <x v="1"/>
    <x v="2"/>
  </r>
  <r>
    <x v="314"/>
    <x v="64"/>
    <x v="4"/>
    <x v="0"/>
    <x v="9"/>
    <x v="4"/>
    <x v="1"/>
    <x v="116"/>
    <x v="254"/>
    <x v="0"/>
    <x v="0"/>
  </r>
  <r>
    <x v="447"/>
    <x v="85"/>
    <x v="2"/>
    <x v="2"/>
    <x v="10"/>
    <x v="0"/>
    <x v="0"/>
    <x v="59"/>
    <x v="57"/>
    <x v="1"/>
    <x v="1"/>
  </r>
  <r>
    <x v="280"/>
    <x v="56"/>
    <x v="2"/>
    <x v="1"/>
    <x v="2"/>
    <x v="2"/>
    <x v="0"/>
    <x v="194"/>
    <x v="180"/>
    <x v="1"/>
    <x v="1"/>
  </r>
  <r>
    <x v="939"/>
    <x v="176"/>
    <x v="3"/>
    <x v="3"/>
    <x v="16"/>
    <x v="7"/>
    <x v="0"/>
    <x v="101"/>
    <x v="96"/>
    <x v="1"/>
    <x v="2"/>
  </r>
  <r>
    <x v="353"/>
    <x v="71"/>
    <x v="2"/>
    <x v="3"/>
    <x v="3"/>
    <x v="9"/>
    <x v="0"/>
    <x v="161"/>
    <x v="152"/>
    <x v="0"/>
    <x v="0"/>
  </r>
  <r>
    <x v="731"/>
    <x v="135"/>
    <x v="2"/>
    <x v="3"/>
    <x v="20"/>
    <x v="9"/>
    <x v="1"/>
    <x v="2"/>
    <x v="54"/>
    <x v="1"/>
    <x v="2"/>
  </r>
  <r>
    <x v="207"/>
    <x v="40"/>
    <x v="2"/>
    <x v="0"/>
    <x v="23"/>
    <x v="7"/>
    <x v="0"/>
    <x v="159"/>
    <x v="150"/>
    <x v="0"/>
    <x v="0"/>
  </r>
  <r>
    <x v="379"/>
    <x v="76"/>
    <x v="3"/>
    <x v="1"/>
    <x v="13"/>
    <x v="7"/>
    <x v="0"/>
    <x v="392"/>
    <x v="454"/>
    <x v="1"/>
    <x v="1"/>
  </r>
  <r>
    <x v="728"/>
    <x v="135"/>
    <x v="1"/>
    <x v="3"/>
    <x v="4"/>
    <x v="4"/>
    <x v="0"/>
    <x v="11"/>
    <x v="11"/>
    <x v="1"/>
    <x v="2"/>
  </r>
  <r>
    <x v="412"/>
    <x v="81"/>
    <x v="1"/>
    <x v="0"/>
    <x v="11"/>
    <x v="9"/>
    <x v="0"/>
    <x v="46"/>
    <x v="45"/>
    <x v="0"/>
    <x v="2"/>
  </r>
  <r>
    <x v="754"/>
    <x v="140"/>
    <x v="4"/>
    <x v="3"/>
    <x v="5"/>
    <x v="6"/>
    <x v="0"/>
    <x v="38"/>
    <x v="37"/>
    <x v="1"/>
    <x v="1"/>
  </r>
  <r>
    <x v="23"/>
    <x v="3"/>
    <x v="1"/>
    <x v="3"/>
    <x v="20"/>
    <x v="3"/>
    <x v="2"/>
    <x v="2"/>
    <x v="128"/>
    <x v="1"/>
    <x v="1"/>
  </r>
  <r>
    <x v="340"/>
    <x v="68"/>
    <x v="2"/>
    <x v="1"/>
    <x v="12"/>
    <x v="8"/>
    <x v="1"/>
    <x v="420"/>
    <x v="516"/>
    <x v="1"/>
    <x v="0"/>
  </r>
  <r>
    <x v="660"/>
    <x v="120"/>
    <x v="4"/>
    <x v="3"/>
    <x v="5"/>
    <x v="1"/>
    <x v="0"/>
    <x v="37"/>
    <x v="36"/>
    <x v="1"/>
    <x v="1"/>
  </r>
  <r>
    <x v="781"/>
    <x v="145"/>
    <x v="0"/>
    <x v="0"/>
    <x v="9"/>
    <x v="3"/>
    <x v="0"/>
    <x v="122"/>
    <x v="114"/>
    <x v="0"/>
    <x v="2"/>
  </r>
  <r>
    <x v="154"/>
    <x v="29"/>
    <x v="3"/>
    <x v="3"/>
    <x v="5"/>
    <x v="6"/>
    <x v="0"/>
    <x v="39"/>
    <x v="38"/>
    <x v="1"/>
    <x v="1"/>
  </r>
  <r>
    <x v="818"/>
    <x v="152"/>
    <x v="4"/>
    <x v="2"/>
    <x v="19"/>
    <x v="0"/>
    <x v="1"/>
    <x v="222"/>
    <x v="307"/>
    <x v="0"/>
    <x v="2"/>
  </r>
  <r>
    <x v="692"/>
    <x v="128"/>
    <x v="4"/>
    <x v="3"/>
    <x v="4"/>
    <x v="4"/>
    <x v="0"/>
    <x v="17"/>
    <x v="17"/>
    <x v="1"/>
    <x v="1"/>
  </r>
  <r>
    <x v="815"/>
    <x v="151"/>
    <x v="2"/>
    <x v="3"/>
    <x v="3"/>
    <x v="3"/>
    <x v="0"/>
    <x v="150"/>
    <x v="141"/>
    <x v="0"/>
    <x v="1"/>
  </r>
  <r>
    <x v="748"/>
    <x v="139"/>
    <x v="3"/>
    <x v="3"/>
    <x v="4"/>
    <x v="2"/>
    <x v="0"/>
    <x v="15"/>
    <x v="15"/>
    <x v="1"/>
    <x v="2"/>
  </r>
  <r>
    <x v="322"/>
    <x v="65"/>
    <x v="0"/>
    <x v="0"/>
    <x v="14"/>
    <x v="0"/>
    <x v="1"/>
    <x v="80"/>
    <x v="224"/>
    <x v="1"/>
    <x v="1"/>
  </r>
  <r>
    <x v="513"/>
    <x v="93"/>
    <x v="4"/>
    <x v="0"/>
    <x v="6"/>
    <x v="0"/>
    <x v="1"/>
    <x v="82"/>
    <x v="227"/>
    <x v="0"/>
    <x v="2"/>
  </r>
  <r>
    <x v="570"/>
    <x v="102"/>
    <x v="2"/>
    <x v="1"/>
    <x v="13"/>
    <x v="8"/>
    <x v="2"/>
    <x v="371"/>
    <x v="511"/>
    <x v="1"/>
    <x v="2"/>
  </r>
  <r>
    <x v="596"/>
    <x v="107"/>
    <x v="4"/>
    <x v="1"/>
    <x v="12"/>
    <x v="1"/>
    <x v="0"/>
    <x v="435"/>
    <x v="495"/>
    <x v="0"/>
    <x v="0"/>
  </r>
  <r>
    <x v="735"/>
    <x v="136"/>
    <x v="4"/>
    <x v="3"/>
    <x v="3"/>
    <x v="3"/>
    <x v="1"/>
    <x v="150"/>
    <x v="269"/>
    <x v="0"/>
    <x v="1"/>
  </r>
  <r>
    <x v="262"/>
    <x v="52"/>
    <x v="3"/>
    <x v="2"/>
    <x v="17"/>
    <x v="6"/>
    <x v="0"/>
    <x v="29"/>
    <x v="28"/>
    <x v="0"/>
    <x v="2"/>
  </r>
  <r>
    <x v="457"/>
    <x v="87"/>
    <x v="3"/>
    <x v="2"/>
    <x v="7"/>
    <x v="1"/>
    <x v="3"/>
    <x v="214"/>
    <x v="382"/>
    <x v="0"/>
    <x v="2"/>
  </r>
  <r>
    <x v="82"/>
    <x v="15"/>
    <x v="2"/>
    <x v="2"/>
    <x v="17"/>
    <x v="2"/>
    <x v="1"/>
    <x v="21"/>
    <x v="136"/>
    <x v="0"/>
    <x v="1"/>
  </r>
  <r>
    <x v="954"/>
    <x v="180"/>
    <x v="2"/>
    <x v="2"/>
    <x v="10"/>
    <x v="0"/>
    <x v="0"/>
    <x v="55"/>
    <x v="53"/>
    <x v="1"/>
    <x v="1"/>
  </r>
  <r>
    <x v="407"/>
    <x v="80"/>
    <x v="3"/>
    <x v="3"/>
    <x v="4"/>
    <x v="6"/>
    <x v="1"/>
    <x v="17"/>
    <x v="104"/>
    <x v="0"/>
    <x v="0"/>
  </r>
  <r>
    <x v="452"/>
    <x v="86"/>
    <x v="2"/>
    <x v="0"/>
    <x v="9"/>
    <x v="0"/>
    <x v="0"/>
    <x v="126"/>
    <x v="118"/>
    <x v="0"/>
    <x v="1"/>
  </r>
  <r>
    <x v="464"/>
    <x v="87"/>
    <x v="1"/>
    <x v="4"/>
    <x v="15"/>
    <x v="6"/>
    <x v="0"/>
    <x v="366"/>
    <x v="411"/>
    <x v="0"/>
    <x v="1"/>
  </r>
  <r>
    <x v="920"/>
    <x v="172"/>
    <x v="4"/>
    <x v="3"/>
    <x v="5"/>
    <x v="6"/>
    <x v="0"/>
    <x v="37"/>
    <x v="36"/>
    <x v="1"/>
    <x v="2"/>
  </r>
  <r>
    <x v="719"/>
    <x v="133"/>
    <x v="2"/>
    <x v="1"/>
    <x v="13"/>
    <x v="9"/>
    <x v="1"/>
    <x v="368"/>
    <x v="475"/>
    <x v="1"/>
    <x v="2"/>
  </r>
  <r>
    <x v="38"/>
    <x v="7"/>
    <x v="1"/>
    <x v="2"/>
    <x v="10"/>
    <x v="7"/>
    <x v="0"/>
    <x v="62"/>
    <x v="60"/>
    <x v="0"/>
    <x v="1"/>
  </r>
  <r>
    <x v="417"/>
    <x v="82"/>
    <x v="3"/>
    <x v="3"/>
    <x v="3"/>
    <x v="9"/>
    <x v="1"/>
    <x v="159"/>
    <x v="273"/>
    <x v="0"/>
    <x v="0"/>
  </r>
  <r>
    <x v="163"/>
    <x v="31"/>
    <x v="2"/>
    <x v="2"/>
    <x v="17"/>
    <x v="7"/>
    <x v="0"/>
    <x v="21"/>
    <x v="20"/>
    <x v="0"/>
    <x v="1"/>
  </r>
  <r>
    <x v="333"/>
    <x v="66"/>
    <x v="4"/>
    <x v="0"/>
    <x v="6"/>
    <x v="5"/>
    <x v="0"/>
    <x v="67"/>
    <x v="65"/>
    <x v="1"/>
    <x v="0"/>
  </r>
  <r>
    <x v="10"/>
    <x v="2"/>
    <x v="2"/>
    <x v="3"/>
    <x v="16"/>
    <x v="6"/>
    <x v="0"/>
    <x v="112"/>
    <x v="106"/>
    <x v="1"/>
    <x v="0"/>
  </r>
  <r>
    <x v="691"/>
    <x v="128"/>
    <x v="4"/>
    <x v="4"/>
    <x v="1"/>
    <x v="9"/>
    <x v="0"/>
    <x v="255"/>
    <x v="242"/>
    <x v="0"/>
    <x v="2"/>
  </r>
  <r>
    <x v="470"/>
    <x v="88"/>
    <x v="4"/>
    <x v="1"/>
    <x v="8"/>
    <x v="7"/>
    <x v="1"/>
    <x v="143"/>
    <x v="267"/>
    <x v="1"/>
    <x v="1"/>
  </r>
  <r>
    <x v="319"/>
    <x v="64"/>
    <x v="2"/>
    <x v="0"/>
    <x v="14"/>
    <x v="1"/>
    <x v="0"/>
    <x v="90"/>
    <x v="86"/>
    <x v="0"/>
    <x v="0"/>
  </r>
  <r>
    <x v="32"/>
    <x v="6"/>
    <x v="4"/>
    <x v="4"/>
    <x v="15"/>
    <x v="0"/>
    <x v="0"/>
    <x v="340"/>
    <x v="393"/>
    <x v="0"/>
    <x v="1"/>
  </r>
  <r>
    <x v="609"/>
    <x v="110"/>
    <x v="1"/>
    <x v="3"/>
    <x v="16"/>
    <x v="9"/>
    <x v="0"/>
    <x v="94"/>
    <x v="90"/>
    <x v="1"/>
    <x v="2"/>
  </r>
  <r>
    <x v="834"/>
    <x v="155"/>
    <x v="3"/>
    <x v="3"/>
    <x v="3"/>
    <x v="0"/>
    <x v="0"/>
    <x v="165"/>
    <x v="156"/>
    <x v="1"/>
    <x v="1"/>
  </r>
  <r>
    <x v="831"/>
    <x v="155"/>
    <x v="2"/>
    <x v="1"/>
    <x v="0"/>
    <x v="7"/>
    <x v="0"/>
    <x v="267"/>
    <x v="329"/>
    <x v="1"/>
    <x v="2"/>
  </r>
  <r>
    <x v="382"/>
    <x v="77"/>
    <x v="1"/>
    <x v="3"/>
    <x v="4"/>
    <x v="0"/>
    <x v="0"/>
    <x v="18"/>
    <x v="18"/>
    <x v="1"/>
    <x v="1"/>
  </r>
  <r>
    <x v="281"/>
    <x v="56"/>
    <x v="4"/>
    <x v="1"/>
    <x v="8"/>
    <x v="7"/>
    <x v="1"/>
    <x v="133"/>
    <x v="262"/>
    <x v="1"/>
    <x v="0"/>
  </r>
  <r>
    <x v="680"/>
    <x v="125"/>
    <x v="3"/>
    <x v="1"/>
    <x v="0"/>
    <x v="1"/>
    <x v="0"/>
    <x v="282"/>
    <x v="342"/>
    <x v="1"/>
    <x v="2"/>
  </r>
  <r>
    <x v="525"/>
    <x v="95"/>
    <x v="4"/>
    <x v="0"/>
    <x v="11"/>
    <x v="7"/>
    <x v="0"/>
    <x v="52"/>
    <x v="50"/>
    <x v="1"/>
    <x v="0"/>
  </r>
  <r>
    <x v="858"/>
    <x v="160"/>
    <x v="0"/>
    <x v="0"/>
    <x v="14"/>
    <x v="6"/>
    <x v="1"/>
    <x v="85"/>
    <x v="233"/>
    <x v="0"/>
    <x v="2"/>
  </r>
  <r>
    <x v="810"/>
    <x v="150"/>
    <x v="2"/>
    <x v="2"/>
    <x v="10"/>
    <x v="2"/>
    <x v="0"/>
    <x v="57"/>
    <x v="55"/>
    <x v="0"/>
    <x v="2"/>
  </r>
  <r>
    <x v="866"/>
    <x v="162"/>
    <x v="3"/>
    <x v="4"/>
    <x v="1"/>
    <x v="1"/>
    <x v="0"/>
    <x v="259"/>
    <x v="245"/>
    <x v="1"/>
    <x v="1"/>
  </r>
  <r>
    <x v="378"/>
    <x v="76"/>
    <x v="2"/>
    <x v="4"/>
    <x v="15"/>
    <x v="0"/>
    <x v="1"/>
    <x v="342"/>
    <x v="433"/>
    <x v="0"/>
    <x v="1"/>
  </r>
  <r>
    <x v="489"/>
    <x v="90"/>
    <x v="2"/>
    <x v="1"/>
    <x v="12"/>
    <x v="1"/>
    <x v="0"/>
    <x v="433"/>
    <x v="494"/>
    <x v="0"/>
    <x v="0"/>
  </r>
  <r>
    <x v="819"/>
    <x v="152"/>
    <x v="0"/>
    <x v="0"/>
    <x v="14"/>
    <x v="3"/>
    <x v="0"/>
    <x v="78"/>
    <x v="75"/>
    <x v="1"/>
    <x v="2"/>
  </r>
  <r>
    <x v="89"/>
    <x v="16"/>
    <x v="2"/>
    <x v="0"/>
    <x v="9"/>
    <x v="4"/>
    <x v="2"/>
    <x v="129"/>
    <x v="304"/>
    <x v="1"/>
    <x v="0"/>
  </r>
  <r>
    <x v="213"/>
    <x v="42"/>
    <x v="3"/>
    <x v="0"/>
    <x v="14"/>
    <x v="9"/>
    <x v="0"/>
    <x v="81"/>
    <x v="78"/>
    <x v="1"/>
    <x v="2"/>
  </r>
  <r>
    <x v="321"/>
    <x v="65"/>
    <x v="1"/>
    <x v="1"/>
    <x v="12"/>
    <x v="5"/>
    <x v="0"/>
    <x v="431"/>
    <x v="493"/>
    <x v="1"/>
    <x v="1"/>
  </r>
  <r>
    <x v="832"/>
    <x v="155"/>
    <x v="2"/>
    <x v="3"/>
    <x v="16"/>
    <x v="4"/>
    <x v="0"/>
    <x v="102"/>
    <x v="97"/>
    <x v="0"/>
    <x v="0"/>
  </r>
  <r>
    <x v="133"/>
    <x v="25"/>
    <x v="3"/>
    <x v="3"/>
    <x v="5"/>
    <x v="0"/>
    <x v="0"/>
    <x v="31"/>
    <x v="30"/>
    <x v="1"/>
    <x v="1"/>
  </r>
  <r>
    <x v="346"/>
    <x v="69"/>
    <x v="3"/>
    <x v="4"/>
    <x v="22"/>
    <x v="2"/>
    <x v="0"/>
    <x v="303"/>
    <x v="359"/>
    <x v="0"/>
    <x v="1"/>
  </r>
  <r>
    <x v="43"/>
    <x v="8"/>
    <x v="2"/>
    <x v="0"/>
    <x v="11"/>
    <x v="3"/>
    <x v="0"/>
    <x v="54"/>
    <x v="52"/>
    <x v="0"/>
    <x v="1"/>
  </r>
  <r>
    <x v="7"/>
    <x v="1"/>
    <x v="3"/>
    <x v="3"/>
    <x v="4"/>
    <x v="8"/>
    <x v="0"/>
    <x v="15"/>
    <x v="15"/>
    <x v="1"/>
    <x v="0"/>
  </r>
  <r>
    <x v="681"/>
    <x v="125"/>
    <x v="2"/>
    <x v="2"/>
    <x v="17"/>
    <x v="1"/>
    <x v="1"/>
    <x v="30"/>
    <x v="146"/>
    <x v="1"/>
    <x v="2"/>
  </r>
  <r>
    <x v="320"/>
    <x v="65"/>
    <x v="4"/>
    <x v="3"/>
    <x v="16"/>
    <x v="7"/>
    <x v="1"/>
    <x v="106"/>
    <x v="248"/>
    <x v="1"/>
    <x v="1"/>
  </r>
  <r>
    <x v="742"/>
    <x v="137"/>
    <x v="2"/>
    <x v="0"/>
    <x v="6"/>
    <x v="1"/>
    <x v="0"/>
    <x v="76"/>
    <x v="73"/>
    <x v="1"/>
    <x v="1"/>
  </r>
  <r>
    <x v="187"/>
    <x v="36"/>
    <x v="1"/>
    <x v="1"/>
    <x v="13"/>
    <x v="8"/>
    <x v="1"/>
    <x v="384"/>
    <x v="484"/>
    <x v="0"/>
    <x v="0"/>
  </r>
  <r>
    <x v="949"/>
    <x v="179"/>
    <x v="2"/>
    <x v="2"/>
    <x v="19"/>
    <x v="8"/>
    <x v="2"/>
    <x v="229"/>
    <x v="345"/>
    <x v="1"/>
    <x v="2"/>
  </r>
  <r>
    <x v="122"/>
    <x v="22"/>
    <x v="4"/>
    <x v="3"/>
    <x v="3"/>
    <x v="1"/>
    <x v="0"/>
    <x v="148"/>
    <x v="139"/>
    <x v="1"/>
    <x v="1"/>
  </r>
  <r>
    <x v="40"/>
    <x v="8"/>
    <x v="3"/>
    <x v="3"/>
    <x v="3"/>
    <x v="0"/>
    <x v="0"/>
    <x v="161"/>
    <x v="152"/>
    <x v="0"/>
    <x v="2"/>
  </r>
  <r>
    <x v="304"/>
    <x v="61"/>
    <x v="0"/>
    <x v="3"/>
    <x v="4"/>
    <x v="3"/>
    <x v="0"/>
    <x v="17"/>
    <x v="17"/>
    <x v="1"/>
    <x v="0"/>
  </r>
  <r>
    <x v="31"/>
    <x v="6"/>
    <x v="2"/>
    <x v="1"/>
    <x v="12"/>
    <x v="8"/>
    <x v="0"/>
    <x v="427"/>
    <x v="489"/>
    <x v="1"/>
    <x v="1"/>
  </r>
  <r>
    <x v="864"/>
    <x v="161"/>
    <x v="4"/>
    <x v="1"/>
    <x v="0"/>
    <x v="2"/>
    <x v="1"/>
    <x v="266"/>
    <x v="413"/>
    <x v="1"/>
    <x v="1"/>
  </r>
  <r>
    <x v="172"/>
    <x v="33"/>
    <x v="2"/>
    <x v="3"/>
    <x v="16"/>
    <x v="1"/>
    <x v="1"/>
    <x v="112"/>
    <x v="250"/>
    <x v="1"/>
    <x v="1"/>
  </r>
  <r>
    <x v="284"/>
    <x v="57"/>
    <x v="3"/>
    <x v="4"/>
    <x v="22"/>
    <x v="2"/>
    <x v="1"/>
    <x v="296"/>
    <x v="421"/>
    <x v="1"/>
    <x v="1"/>
  </r>
  <r>
    <x v="430"/>
    <x v="83"/>
    <x v="0"/>
    <x v="0"/>
    <x v="14"/>
    <x v="4"/>
    <x v="1"/>
    <x v="92"/>
    <x v="239"/>
    <x v="0"/>
    <x v="1"/>
  </r>
  <r>
    <x v="838"/>
    <x v="156"/>
    <x v="3"/>
    <x v="3"/>
    <x v="4"/>
    <x v="1"/>
    <x v="1"/>
    <x v="11"/>
    <x v="93"/>
    <x v="1"/>
    <x v="2"/>
  </r>
  <r>
    <x v="240"/>
    <x v="47"/>
    <x v="3"/>
    <x v="1"/>
    <x v="13"/>
    <x v="7"/>
    <x v="1"/>
    <x v="374"/>
    <x v="479"/>
    <x v="1"/>
    <x v="1"/>
  </r>
  <r>
    <x v="699"/>
    <x v="129"/>
    <x v="2"/>
    <x v="3"/>
    <x v="4"/>
    <x v="9"/>
    <x v="0"/>
    <x v="11"/>
    <x v="11"/>
    <x v="1"/>
    <x v="0"/>
  </r>
  <r>
    <x v="174"/>
    <x v="34"/>
    <x v="0"/>
    <x v="4"/>
    <x v="22"/>
    <x v="6"/>
    <x v="0"/>
    <x v="297"/>
    <x v="354"/>
    <x v="1"/>
    <x v="1"/>
  </r>
  <r>
    <x v="245"/>
    <x v="48"/>
    <x v="2"/>
    <x v="0"/>
    <x v="23"/>
    <x v="2"/>
    <x v="1"/>
    <x v="162"/>
    <x v="277"/>
    <x v="1"/>
    <x v="2"/>
  </r>
  <r>
    <x v="56"/>
    <x v="11"/>
    <x v="2"/>
    <x v="1"/>
    <x v="2"/>
    <x v="9"/>
    <x v="1"/>
    <x v="193"/>
    <x v="295"/>
    <x v="1"/>
    <x v="1"/>
  </r>
  <r>
    <x v="713"/>
    <x v="132"/>
    <x v="1"/>
    <x v="0"/>
    <x v="23"/>
    <x v="9"/>
    <x v="0"/>
    <x v="165"/>
    <x v="156"/>
    <x v="1"/>
    <x v="0"/>
  </r>
  <r>
    <x v="145"/>
    <x v="27"/>
    <x v="4"/>
    <x v="1"/>
    <x v="13"/>
    <x v="7"/>
    <x v="0"/>
    <x v="388"/>
    <x v="450"/>
    <x v="1"/>
    <x v="1"/>
  </r>
  <r>
    <x v="90"/>
    <x v="16"/>
    <x v="2"/>
    <x v="1"/>
    <x v="13"/>
    <x v="2"/>
    <x v="1"/>
    <x v="378"/>
    <x v="482"/>
    <x v="1"/>
    <x v="1"/>
  </r>
  <r>
    <x v="392"/>
    <x v="79"/>
    <x v="3"/>
    <x v="2"/>
    <x v="10"/>
    <x v="1"/>
    <x v="0"/>
    <x v="58"/>
    <x v="56"/>
    <x v="0"/>
    <x v="1"/>
  </r>
  <r>
    <x v="310"/>
    <x v="62"/>
    <x v="3"/>
    <x v="4"/>
    <x v="21"/>
    <x v="6"/>
    <x v="0"/>
    <x v="327"/>
    <x v="378"/>
    <x v="1"/>
    <x v="1"/>
  </r>
  <r>
    <x v="359"/>
    <x v="72"/>
    <x v="2"/>
    <x v="3"/>
    <x v="4"/>
    <x v="0"/>
    <x v="0"/>
    <x v="16"/>
    <x v="16"/>
    <x v="0"/>
    <x v="2"/>
  </r>
  <r>
    <x v="93"/>
    <x v="17"/>
    <x v="3"/>
    <x v="0"/>
    <x v="11"/>
    <x v="8"/>
    <x v="1"/>
    <x v="56"/>
    <x v="186"/>
    <x v="1"/>
    <x v="1"/>
  </r>
  <r>
    <x v="657"/>
    <x v="120"/>
    <x v="1"/>
    <x v="3"/>
    <x v="20"/>
    <x v="2"/>
    <x v="1"/>
    <x v="4"/>
    <x v="58"/>
    <x v="1"/>
    <x v="2"/>
  </r>
  <r>
    <x v="712"/>
    <x v="132"/>
    <x v="4"/>
    <x v="0"/>
    <x v="6"/>
    <x v="9"/>
    <x v="0"/>
    <x v="72"/>
    <x v="69"/>
    <x v="1"/>
    <x v="0"/>
  </r>
  <r>
    <x v="376"/>
    <x v="76"/>
    <x v="2"/>
    <x v="1"/>
    <x v="0"/>
    <x v="4"/>
    <x v="0"/>
    <x v="282"/>
    <x v="342"/>
    <x v="0"/>
    <x v="2"/>
  </r>
  <r>
    <x v="243"/>
    <x v="48"/>
    <x v="2"/>
    <x v="0"/>
    <x v="14"/>
    <x v="8"/>
    <x v="2"/>
    <x v="84"/>
    <x v="285"/>
    <x v="0"/>
    <x v="0"/>
  </r>
  <r>
    <x v="780"/>
    <x v="144"/>
    <x v="3"/>
    <x v="1"/>
    <x v="18"/>
    <x v="9"/>
    <x v="1"/>
    <x v="399"/>
    <x v="501"/>
    <x v="0"/>
    <x v="2"/>
  </r>
  <r>
    <x v="87"/>
    <x v="16"/>
    <x v="1"/>
    <x v="4"/>
    <x v="22"/>
    <x v="6"/>
    <x v="2"/>
    <x v="291"/>
    <x v="441"/>
    <x v="0"/>
    <x v="1"/>
  </r>
  <r>
    <x v="214"/>
    <x v="42"/>
    <x v="2"/>
    <x v="3"/>
    <x v="16"/>
    <x v="2"/>
    <x v="0"/>
    <x v="98"/>
    <x v="94"/>
    <x v="1"/>
    <x v="0"/>
  </r>
  <r>
    <x v="927"/>
    <x v="174"/>
    <x v="4"/>
    <x v="3"/>
    <x v="5"/>
    <x v="8"/>
    <x v="0"/>
    <x v="40"/>
    <x v="39"/>
    <x v="1"/>
    <x v="2"/>
  </r>
  <r>
    <x v="173"/>
    <x v="33"/>
    <x v="3"/>
    <x v="0"/>
    <x v="6"/>
    <x v="9"/>
    <x v="0"/>
    <x v="70"/>
    <x v="68"/>
    <x v="1"/>
    <x v="0"/>
  </r>
  <r>
    <x v="425"/>
    <x v="82"/>
    <x v="2"/>
    <x v="0"/>
    <x v="23"/>
    <x v="5"/>
    <x v="0"/>
    <x v="168"/>
    <x v="159"/>
    <x v="1"/>
    <x v="0"/>
  </r>
  <r>
    <x v="734"/>
    <x v="136"/>
    <x v="3"/>
    <x v="1"/>
    <x v="8"/>
    <x v="3"/>
    <x v="0"/>
    <x v="137"/>
    <x v="128"/>
    <x v="0"/>
    <x v="0"/>
  </r>
  <r>
    <x v="118"/>
    <x v="21"/>
    <x v="1"/>
    <x v="1"/>
    <x v="2"/>
    <x v="3"/>
    <x v="0"/>
    <x v="180"/>
    <x v="169"/>
    <x v="0"/>
    <x v="1"/>
  </r>
  <r>
    <x v="119"/>
    <x v="22"/>
    <x v="2"/>
    <x v="4"/>
    <x v="1"/>
    <x v="0"/>
    <x v="0"/>
    <x v="246"/>
    <x v="234"/>
    <x v="1"/>
    <x v="1"/>
  </r>
  <r>
    <x v="602"/>
    <x v="108"/>
    <x v="3"/>
    <x v="4"/>
    <x v="15"/>
    <x v="4"/>
    <x v="0"/>
    <x v="348"/>
    <x v="399"/>
    <x v="1"/>
    <x v="0"/>
  </r>
  <r>
    <x v="0"/>
    <x v="0"/>
    <x v="4"/>
    <x v="1"/>
    <x v="18"/>
    <x v="3"/>
    <x v="0"/>
    <x v="413"/>
    <x v="472"/>
    <x v="1"/>
    <x v="1"/>
  </r>
  <r>
    <x v="394"/>
    <x v="79"/>
    <x v="0"/>
    <x v="4"/>
    <x v="1"/>
    <x v="6"/>
    <x v="0"/>
    <x v="252"/>
    <x v="239"/>
    <x v="1"/>
    <x v="0"/>
  </r>
  <r>
    <x v="401"/>
    <x v="80"/>
    <x v="3"/>
    <x v="2"/>
    <x v="7"/>
    <x v="8"/>
    <x v="0"/>
    <x v="195"/>
    <x v="182"/>
    <x v="1"/>
    <x v="1"/>
  </r>
  <r>
    <x v="404"/>
    <x v="80"/>
    <x v="4"/>
    <x v="4"/>
    <x v="22"/>
    <x v="5"/>
    <x v="0"/>
    <x v="298"/>
    <x v="356"/>
    <x v="0"/>
    <x v="1"/>
  </r>
  <r>
    <x v="897"/>
    <x v="168"/>
    <x v="0"/>
    <x v="0"/>
    <x v="11"/>
    <x v="3"/>
    <x v="1"/>
    <x v="53"/>
    <x v="182"/>
    <x v="0"/>
    <x v="0"/>
  </r>
  <r>
    <x v="590"/>
    <x v="107"/>
    <x v="0"/>
    <x v="3"/>
    <x v="20"/>
    <x v="5"/>
    <x v="0"/>
    <x v="8"/>
    <x v="8"/>
    <x v="0"/>
    <x v="1"/>
  </r>
  <r>
    <x v="162"/>
    <x v="31"/>
    <x v="4"/>
    <x v="4"/>
    <x v="1"/>
    <x v="1"/>
    <x v="0"/>
    <x v="251"/>
    <x v="238"/>
    <x v="1"/>
    <x v="2"/>
  </r>
  <r>
    <x v="114"/>
    <x v="21"/>
    <x v="2"/>
    <x v="1"/>
    <x v="12"/>
    <x v="1"/>
    <x v="0"/>
    <x v="438"/>
    <x v="497"/>
    <x v="1"/>
    <x v="0"/>
  </r>
  <r>
    <x v="150"/>
    <x v="28"/>
    <x v="4"/>
    <x v="3"/>
    <x v="3"/>
    <x v="1"/>
    <x v="0"/>
    <x v="156"/>
    <x v="147"/>
    <x v="0"/>
    <x v="1"/>
  </r>
  <r>
    <x v="556"/>
    <x v="99"/>
    <x v="4"/>
    <x v="4"/>
    <x v="15"/>
    <x v="3"/>
    <x v="0"/>
    <x v="360"/>
    <x v="407"/>
    <x v="1"/>
    <x v="1"/>
  </r>
  <r>
    <x v="848"/>
    <x v="158"/>
    <x v="3"/>
    <x v="1"/>
    <x v="2"/>
    <x v="6"/>
    <x v="0"/>
    <x v="191"/>
    <x v="177"/>
    <x v="0"/>
    <x v="2"/>
  </r>
  <r>
    <x v="368"/>
    <x v="74"/>
    <x v="0"/>
    <x v="2"/>
    <x v="17"/>
    <x v="4"/>
    <x v="0"/>
    <x v="32"/>
    <x v="31"/>
    <x v="1"/>
    <x v="0"/>
  </r>
  <r>
    <x v="543"/>
    <x v="97"/>
    <x v="2"/>
    <x v="3"/>
    <x v="16"/>
    <x v="2"/>
    <x v="0"/>
    <x v="109"/>
    <x v="104"/>
    <x v="1"/>
    <x v="0"/>
  </r>
  <r>
    <x v="477"/>
    <x v="89"/>
    <x v="1"/>
    <x v="0"/>
    <x v="14"/>
    <x v="2"/>
    <x v="1"/>
    <x v="77"/>
    <x v="220"/>
    <x v="1"/>
    <x v="2"/>
  </r>
  <r>
    <x v="532"/>
    <x v="96"/>
    <x v="3"/>
    <x v="3"/>
    <x v="5"/>
    <x v="0"/>
    <x v="1"/>
    <x v="37"/>
    <x v="158"/>
    <x v="1"/>
    <x v="1"/>
  </r>
  <r>
    <x v="933"/>
    <x v="175"/>
    <x v="2"/>
    <x v="1"/>
    <x v="8"/>
    <x v="0"/>
    <x v="0"/>
    <x v="133"/>
    <x v="124"/>
    <x v="1"/>
    <x v="1"/>
  </r>
  <r>
    <x v="558"/>
    <x v="99"/>
    <x v="2"/>
    <x v="2"/>
    <x v="7"/>
    <x v="2"/>
    <x v="0"/>
    <x v="208"/>
    <x v="195"/>
    <x v="0"/>
    <x v="2"/>
  </r>
  <r>
    <x v="906"/>
    <x v="170"/>
    <x v="1"/>
    <x v="4"/>
    <x v="15"/>
    <x v="3"/>
    <x v="0"/>
    <x v="362"/>
    <x v="408"/>
    <x v="1"/>
    <x v="0"/>
  </r>
  <r>
    <x v="258"/>
    <x v="52"/>
    <x v="3"/>
    <x v="0"/>
    <x v="9"/>
    <x v="8"/>
    <x v="1"/>
    <x v="118"/>
    <x v="255"/>
    <x v="1"/>
    <x v="2"/>
  </r>
  <r>
    <x v="802"/>
    <x v="149"/>
    <x v="3"/>
    <x v="4"/>
    <x v="21"/>
    <x v="2"/>
    <x v="0"/>
    <x v="318"/>
    <x v="371"/>
    <x v="1"/>
    <x v="2"/>
  </r>
  <r>
    <x v="135"/>
    <x v="25"/>
    <x v="0"/>
    <x v="4"/>
    <x v="21"/>
    <x v="2"/>
    <x v="0"/>
    <x v="329"/>
    <x v="380"/>
    <x v="1"/>
    <x v="1"/>
  </r>
  <r>
    <x v="878"/>
    <x v="164"/>
    <x v="3"/>
    <x v="3"/>
    <x v="16"/>
    <x v="4"/>
    <x v="0"/>
    <x v="104"/>
    <x v="99"/>
    <x v="1"/>
    <x v="1"/>
  </r>
  <r>
    <x v="601"/>
    <x v="108"/>
    <x v="2"/>
    <x v="1"/>
    <x v="0"/>
    <x v="5"/>
    <x v="0"/>
    <x v="275"/>
    <x v="336"/>
    <x v="0"/>
    <x v="1"/>
  </r>
  <r>
    <x v="756"/>
    <x v="140"/>
    <x v="0"/>
    <x v="1"/>
    <x v="2"/>
    <x v="8"/>
    <x v="2"/>
    <x v="189"/>
    <x v="319"/>
    <x v="0"/>
    <x v="1"/>
  </r>
  <r>
    <x v="501"/>
    <x v="91"/>
    <x v="1"/>
    <x v="0"/>
    <x v="23"/>
    <x v="1"/>
    <x v="0"/>
    <x v="160"/>
    <x v="151"/>
    <x v="1"/>
    <x v="2"/>
  </r>
  <r>
    <x v="538"/>
    <x v="96"/>
    <x v="3"/>
    <x v="0"/>
    <x v="11"/>
    <x v="1"/>
    <x v="0"/>
    <x v="55"/>
    <x v="53"/>
    <x v="0"/>
    <x v="0"/>
  </r>
  <r>
    <x v="620"/>
    <x v="112"/>
    <x v="3"/>
    <x v="1"/>
    <x v="0"/>
    <x v="0"/>
    <x v="0"/>
    <x v="269"/>
    <x v="331"/>
    <x v="1"/>
    <x v="2"/>
  </r>
  <r>
    <x v="343"/>
    <x v="68"/>
    <x v="0"/>
    <x v="3"/>
    <x v="5"/>
    <x v="1"/>
    <x v="0"/>
    <x v="32"/>
    <x v="31"/>
    <x v="1"/>
    <x v="0"/>
  </r>
  <r>
    <x v="725"/>
    <x v="134"/>
    <x v="1"/>
    <x v="4"/>
    <x v="21"/>
    <x v="8"/>
    <x v="0"/>
    <x v="313"/>
    <x v="366"/>
    <x v="0"/>
    <x v="2"/>
  </r>
  <r>
    <x v="767"/>
    <x v="142"/>
    <x v="1"/>
    <x v="2"/>
    <x v="7"/>
    <x v="1"/>
    <x v="0"/>
    <x v="215"/>
    <x v="200"/>
    <x v="0"/>
    <x v="0"/>
  </r>
  <r>
    <x v="293"/>
    <x v="58"/>
    <x v="3"/>
    <x v="3"/>
    <x v="5"/>
    <x v="4"/>
    <x v="0"/>
    <x v="39"/>
    <x v="38"/>
    <x v="1"/>
    <x v="0"/>
  </r>
  <r>
    <x v="364"/>
    <x v="73"/>
    <x v="3"/>
    <x v="0"/>
    <x v="6"/>
    <x v="5"/>
    <x v="1"/>
    <x v="70"/>
    <x v="206"/>
    <x v="1"/>
    <x v="1"/>
  </r>
  <r>
    <x v="595"/>
    <x v="107"/>
    <x v="3"/>
    <x v="1"/>
    <x v="18"/>
    <x v="5"/>
    <x v="1"/>
    <x v="416"/>
    <x v="508"/>
    <x v="0"/>
    <x v="2"/>
  </r>
  <r>
    <x v="14"/>
    <x v="2"/>
    <x v="1"/>
    <x v="2"/>
    <x v="17"/>
    <x v="7"/>
    <x v="0"/>
    <x v="28"/>
    <x v="27"/>
    <x v="1"/>
    <x v="1"/>
  </r>
  <r>
    <x v="86"/>
    <x v="16"/>
    <x v="3"/>
    <x v="3"/>
    <x v="5"/>
    <x v="7"/>
    <x v="0"/>
    <x v="39"/>
    <x v="38"/>
    <x v="1"/>
    <x v="0"/>
  </r>
  <r>
    <x v="370"/>
    <x v="74"/>
    <x v="2"/>
    <x v="2"/>
    <x v="7"/>
    <x v="2"/>
    <x v="0"/>
    <x v="201"/>
    <x v="188"/>
    <x v="1"/>
    <x v="2"/>
  </r>
  <r>
    <x v="165"/>
    <x v="32"/>
    <x v="3"/>
    <x v="0"/>
    <x v="23"/>
    <x v="4"/>
    <x v="0"/>
    <x v="166"/>
    <x v="157"/>
    <x v="1"/>
    <x v="2"/>
  </r>
  <r>
    <x v="854"/>
    <x v="159"/>
    <x v="2"/>
    <x v="3"/>
    <x v="5"/>
    <x v="8"/>
    <x v="2"/>
    <x v="30"/>
    <x v="243"/>
    <x v="0"/>
    <x v="1"/>
  </r>
  <r>
    <x v="335"/>
    <x v="67"/>
    <x v="3"/>
    <x v="3"/>
    <x v="16"/>
    <x v="0"/>
    <x v="1"/>
    <x v="100"/>
    <x v="247"/>
    <x v="1"/>
    <x v="2"/>
  </r>
  <r>
    <x v="59"/>
    <x v="11"/>
    <x v="3"/>
    <x v="3"/>
    <x v="3"/>
    <x v="3"/>
    <x v="1"/>
    <x v="163"/>
    <x v="278"/>
    <x v="0"/>
    <x v="1"/>
  </r>
  <r>
    <x v="354"/>
    <x v="71"/>
    <x v="3"/>
    <x v="4"/>
    <x v="22"/>
    <x v="2"/>
    <x v="1"/>
    <x v="290"/>
    <x v="419"/>
    <x v="1"/>
    <x v="1"/>
  </r>
  <r>
    <x v="424"/>
    <x v="82"/>
    <x v="2"/>
    <x v="1"/>
    <x v="18"/>
    <x v="7"/>
    <x v="1"/>
    <x v="410"/>
    <x v="507"/>
    <x v="1"/>
    <x v="0"/>
  </r>
  <r>
    <x v="292"/>
    <x v="58"/>
    <x v="3"/>
    <x v="3"/>
    <x v="3"/>
    <x v="6"/>
    <x v="0"/>
    <x v="166"/>
    <x v="157"/>
    <x v="0"/>
    <x v="1"/>
  </r>
  <r>
    <x v="41"/>
    <x v="8"/>
    <x v="2"/>
    <x v="4"/>
    <x v="1"/>
    <x v="9"/>
    <x v="0"/>
    <x v="257"/>
    <x v="244"/>
    <x v="1"/>
    <x v="1"/>
  </r>
  <r>
    <x v="329"/>
    <x v="66"/>
    <x v="0"/>
    <x v="3"/>
    <x v="20"/>
    <x v="6"/>
    <x v="0"/>
    <x v="3"/>
    <x v="3"/>
    <x v="0"/>
    <x v="0"/>
  </r>
  <r>
    <x v="429"/>
    <x v="83"/>
    <x v="3"/>
    <x v="2"/>
    <x v="10"/>
    <x v="5"/>
    <x v="0"/>
    <x v="64"/>
    <x v="62"/>
    <x v="1"/>
    <x v="1"/>
  </r>
  <r>
    <x v="79"/>
    <x v="15"/>
    <x v="3"/>
    <x v="0"/>
    <x v="23"/>
    <x v="4"/>
    <x v="0"/>
    <x v="173"/>
    <x v="164"/>
    <x v="1"/>
    <x v="0"/>
  </r>
  <r>
    <x v="28"/>
    <x v="5"/>
    <x v="2"/>
    <x v="2"/>
    <x v="7"/>
    <x v="0"/>
    <x v="0"/>
    <x v="203"/>
    <x v="190"/>
    <x v="1"/>
    <x v="1"/>
  </r>
  <r>
    <x v="254"/>
    <x v="51"/>
    <x v="2"/>
    <x v="3"/>
    <x v="5"/>
    <x v="0"/>
    <x v="0"/>
    <x v="33"/>
    <x v="32"/>
    <x v="0"/>
    <x v="1"/>
  </r>
  <r>
    <x v="775"/>
    <x v="143"/>
    <x v="3"/>
    <x v="2"/>
    <x v="10"/>
    <x v="3"/>
    <x v="0"/>
    <x v="56"/>
    <x v="54"/>
    <x v="0"/>
    <x v="1"/>
  </r>
  <r>
    <x v="458"/>
    <x v="87"/>
    <x v="2"/>
    <x v="4"/>
    <x v="21"/>
    <x v="9"/>
    <x v="0"/>
    <x v="316"/>
    <x v="369"/>
    <x v="0"/>
    <x v="1"/>
  </r>
  <r>
    <x v="383"/>
    <x v="78"/>
    <x v="2"/>
    <x v="0"/>
    <x v="23"/>
    <x v="9"/>
    <x v="1"/>
    <x v="162"/>
    <x v="277"/>
    <x v="0"/>
    <x v="2"/>
  </r>
  <r>
    <x v="313"/>
    <x v="63"/>
    <x v="3"/>
    <x v="3"/>
    <x v="20"/>
    <x v="7"/>
    <x v="0"/>
    <x v="1"/>
    <x v="1"/>
    <x v="0"/>
    <x v="1"/>
  </r>
  <r>
    <x v="84"/>
    <x v="16"/>
    <x v="3"/>
    <x v="3"/>
    <x v="5"/>
    <x v="2"/>
    <x v="1"/>
    <x v="38"/>
    <x v="160"/>
    <x v="1"/>
    <x v="0"/>
  </r>
  <r>
    <x v="574"/>
    <x v="103"/>
    <x v="4"/>
    <x v="2"/>
    <x v="7"/>
    <x v="8"/>
    <x v="0"/>
    <x v="204"/>
    <x v="191"/>
    <x v="0"/>
    <x v="2"/>
  </r>
  <r>
    <x v="136"/>
    <x v="25"/>
    <x v="2"/>
    <x v="3"/>
    <x v="16"/>
    <x v="5"/>
    <x v="0"/>
    <x v="105"/>
    <x v="100"/>
    <x v="1"/>
    <x v="2"/>
  </r>
  <r>
    <x v="111"/>
    <x v="20"/>
    <x v="2"/>
    <x v="4"/>
    <x v="1"/>
    <x v="4"/>
    <x v="0"/>
    <x v="249"/>
    <x v="236"/>
    <x v="0"/>
    <x v="1"/>
  </r>
  <r>
    <x v="194"/>
    <x v="37"/>
    <x v="3"/>
    <x v="0"/>
    <x v="14"/>
    <x v="9"/>
    <x v="0"/>
    <x v="85"/>
    <x v="81"/>
    <x v="1"/>
    <x v="1"/>
  </r>
  <r>
    <x v="178"/>
    <x v="34"/>
    <x v="4"/>
    <x v="1"/>
    <x v="18"/>
    <x v="3"/>
    <x v="0"/>
    <x v="400"/>
    <x v="462"/>
    <x v="1"/>
    <x v="2"/>
  </r>
  <r>
    <x v="839"/>
    <x v="156"/>
    <x v="4"/>
    <x v="1"/>
    <x v="2"/>
    <x v="2"/>
    <x v="0"/>
    <x v="184"/>
    <x v="173"/>
    <x v="1"/>
    <x v="2"/>
  </r>
  <r>
    <x v="496"/>
    <x v="91"/>
    <x v="2"/>
    <x v="0"/>
    <x v="11"/>
    <x v="9"/>
    <x v="3"/>
    <x v="55"/>
    <x v="297"/>
    <x v="1"/>
    <x v="0"/>
  </r>
  <r>
    <x v="129"/>
    <x v="23"/>
    <x v="2"/>
    <x v="0"/>
    <x v="11"/>
    <x v="8"/>
    <x v="0"/>
    <x v="50"/>
    <x v="48"/>
    <x v="1"/>
    <x v="0"/>
  </r>
  <r>
    <x v="337"/>
    <x v="67"/>
    <x v="4"/>
    <x v="4"/>
    <x v="22"/>
    <x v="1"/>
    <x v="1"/>
    <x v="288"/>
    <x v="417"/>
    <x v="1"/>
    <x v="2"/>
  </r>
  <r>
    <x v="124"/>
    <x v="22"/>
    <x v="4"/>
    <x v="3"/>
    <x v="4"/>
    <x v="2"/>
    <x v="1"/>
    <x v="14"/>
    <x v="98"/>
    <x v="0"/>
    <x v="1"/>
  </r>
  <r>
    <x v="907"/>
    <x v="170"/>
    <x v="2"/>
    <x v="3"/>
    <x v="20"/>
    <x v="6"/>
    <x v="0"/>
    <x v="6"/>
    <x v="6"/>
    <x v="0"/>
    <x v="1"/>
  </r>
  <r>
    <x v="226"/>
    <x v="44"/>
    <x v="4"/>
    <x v="3"/>
    <x v="20"/>
    <x v="1"/>
    <x v="3"/>
    <x v="2"/>
    <x v="186"/>
    <x v="1"/>
    <x v="1"/>
  </r>
  <r>
    <x v="268"/>
    <x v="54"/>
    <x v="4"/>
    <x v="2"/>
    <x v="10"/>
    <x v="2"/>
    <x v="0"/>
    <x v="65"/>
    <x v="63"/>
    <x v="1"/>
    <x v="1"/>
  </r>
  <r>
    <x v="922"/>
    <x v="172"/>
    <x v="4"/>
    <x v="0"/>
    <x v="14"/>
    <x v="5"/>
    <x v="0"/>
    <x v="81"/>
    <x v="78"/>
    <x v="1"/>
    <x v="1"/>
  </r>
  <r>
    <x v="944"/>
    <x v="178"/>
    <x v="1"/>
    <x v="4"/>
    <x v="21"/>
    <x v="0"/>
    <x v="1"/>
    <x v="322"/>
    <x v="429"/>
    <x v="1"/>
    <x v="2"/>
  </r>
  <r>
    <x v="103"/>
    <x v="19"/>
    <x v="2"/>
    <x v="0"/>
    <x v="11"/>
    <x v="8"/>
    <x v="0"/>
    <x v="55"/>
    <x v="53"/>
    <x v="1"/>
    <x v="1"/>
  </r>
  <r>
    <x v="593"/>
    <x v="107"/>
    <x v="4"/>
    <x v="1"/>
    <x v="8"/>
    <x v="4"/>
    <x v="0"/>
    <x v="142"/>
    <x v="133"/>
    <x v="1"/>
    <x v="2"/>
  </r>
  <r>
    <x v="808"/>
    <x v="150"/>
    <x v="4"/>
    <x v="2"/>
    <x v="10"/>
    <x v="8"/>
    <x v="2"/>
    <x v="60"/>
    <x v="266"/>
    <x v="1"/>
    <x v="2"/>
  </r>
  <r>
    <x v="806"/>
    <x v="150"/>
    <x v="3"/>
    <x v="2"/>
    <x v="19"/>
    <x v="6"/>
    <x v="0"/>
    <x v="223"/>
    <x v="208"/>
    <x v="1"/>
    <x v="1"/>
  </r>
  <r>
    <x v="227"/>
    <x v="45"/>
    <x v="3"/>
    <x v="0"/>
    <x v="6"/>
    <x v="7"/>
    <x v="1"/>
    <x v="75"/>
    <x v="216"/>
    <x v="1"/>
    <x v="1"/>
  </r>
  <r>
    <x v="837"/>
    <x v="156"/>
    <x v="0"/>
    <x v="3"/>
    <x v="16"/>
    <x v="0"/>
    <x v="0"/>
    <x v="95"/>
    <x v="91"/>
    <x v="1"/>
    <x v="1"/>
  </r>
  <r>
    <x v="301"/>
    <x v="60"/>
    <x v="3"/>
    <x v="3"/>
    <x v="4"/>
    <x v="5"/>
    <x v="0"/>
    <x v="17"/>
    <x v="17"/>
    <x v="0"/>
    <x v="0"/>
  </r>
  <r>
    <x v="275"/>
    <x v="55"/>
    <x v="2"/>
    <x v="3"/>
    <x v="5"/>
    <x v="2"/>
    <x v="0"/>
    <x v="31"/>
    <x v="30"/>
    <x v="1"/>
    <x v="1"/>
  </r>
  <r>
    <x v="126"/>
    <x v="23"/>
    <x v="1"/>
    <x v="3"/>
    <x v="4"/>
    <x v="6"/>
    <x v="0"/>
    <x v="13"/>
    <x v="13"/>
    <x v="1"/>
    <x v="2"/>
  </r>
  <r>
    <x v="405"/>
    <x v="80"/>
    <x v="2"/>
    <x v="0"/>
    <x v="9"/>
    <x v="9"/>
    <x v="0"/>
    <x v="120"/>
    <x v="112"/>
    <x v="1"/>
    <x v="1"/>
  </r>
  <r>
    <x v="843"/>
    <x v="157"/>
    <x v="0"/>
    <x v="1"/>
    <x v="0"/>
    <x v="4"/>
    <x v="0"/>
    <x v="274"/>
    <x v="335"/>
    <x v="0"/>
    <x v="1"/>
  </r>
  <r>
    <x v="36"/>
    <x v="7"/>
    <x v="2"/>
    <x v="2"/>
    <x v="7"/>
    <x v="9"/>
    <x v="0"/>
    <x v="196"/>
    <x v="183"/>
    <x v="0"/>
    <x v="0"/>
  </r>
  <r>
    <x v="139"/>
    <x v="26"/>
    <x v="4"/>
    <x v="4"/>
    <x v="1"/>
    <x v="1"/>
    <x v="0"/>
    <x v="256"/>
    <x v="243"/>
    <x v="1"/>
    <x v="1"/>
  </r>
  <r>
    <x v="303"/>
    <x v="60"/>
    <x v="4"/>
    <x v="4"/>
    <x v="15"/>
    <x v="6"/>
    <x v="0"/>
    <x v="347"/>
    <x v="398"/>
    <x v="1"/>
    <x v="1"/>
  </r>
  <r>
    <x v="267"/>
    <x v="53"/>
    <x v="2"/>
    <x v="0"/>
    <x v="11"/>
    <x v="4"/>
    <x v="0"/>
    <x v="48"/>
    <x v="46"/>
    <x v="0"/>
    <x v="1"/>
  </r>
  <r>
    <x v="533"/>
    <x v="96"/>
    <x v="4"/>
    <x v="0"/>
    <x v="14"/>
    <x v="1"/>
    <x v="0"/>
    <x v="81"/>
    <x v="78"/>
    <x v="1"/>
    <x v="1"/>
  </r>
  <r>
    <x v="545"/>
    <x v="97"/>
    <x v="1"/>
    <x v="1"/>
    <x v="2"/>
    <x v="3"/>
    <x v="1"/>
    <x v="186"/>
    <x v="291"/>
    <x v="1"/>
    <x v="1"/>
  </r>
  <r>
    <x v="212"/>
    <x v="42"/>
    <x v="0"/>
    <x v="4"/>
    <x v="21"/>
    <x v="1"/>
    <x v="0"/>
    <x v="334"/>
    <x v="387"/>
    <x v="0"/>
    <x v="1"/>
  </r>
  <r>
    <x v="468"/>
    <x v="88"/>
    <x v="2"/>
    <x v="0"/>
    <x v="6"/>
    <x v="1"/>
    <x v="3"/>
    <x v="68"/>
    <x v="305"/>
    <x v="1"/>
    <x v="1"/>
  </r>
  <r>
    <x v="198"/>
    <x v="39"/>
    <x v="3"/>
    <x v="3"/>
    <x v="4"/>
    <x v="6"/>
    <x v="0"/>
    <x v="10"/>
    <x v="10"/>
    <x v="1"/>
    <x v="0"/>
  </r>
  <r>
    <x v="527"/>
    <x v="95"/>
    <x v="4"/>
    <x v="0"/>
    <x v="14"/>
    <x v="0"/>
    <x v="0"/>
    <x v="82"/>
    <x v="79"/>
    <x v="1"/>
    <x v="1"/>
  </r>
  <r>
    <x v="752"/>
    <x v="140"/>
    <x v="0"/>
    <x v="3"/>
    <x v="3"/>
    <x v="6"/>
    <x v="0"/>
    <x v="162"/>
    <x v="153"/>
    <x v="1"/>
    <x v="0"/>
  </r>
  <r>
    <x v="241"/>
    <x v="47"/>
    <x v="2"/>
    <x v="0"/>
    <x v="23"/>
    <x v="5"/>
    <x v="0"/>
    <x v="173"/>
    <x v="164"/>
    <x v="1"/>
    <x v="2"/>
  </r>
  <r>
    <x v="342"/>
    <x v="68"/>
    <x v="2"/>
    <x v="4"/>
    <x v="22"/>
    <x v="8"/>
    <x v="1"/>
    <x v="302"/>
    <x v="423"/>
    <x v="0"/>
    <x v="2"/>
  </r>
  <r>
    <x v="549"/>
    <x v="98"/>
    <x v="2"/>
    <x v="1"/>
    <x v="0"/>
    <x v="6"/>
    <x v="0"/>
    <x v="280"/>
    <x v="340"/>
    <x v="1"/>
    <x v="0"/>
  </r>
  <r>
    <x v="386"/>
    <x v="78"/>
    <x v="2"/>
    <x v="0"/>
    <x v="14"/>
    <x v="8"/>
    <x v="1"/>
    <x v="82"/>
    <x v="227"/>
    <x v="1"/>
    <x v="0"/>
  </r>
  <r>
    <x v="814"/>
    <x v="151"/>
    <x v="3"/>
    <x v="2"/>
    <x v="19"/>
    <x v="0"/>
    <x v="0"/>
    <x v="230"/>
    <x v="215"/>
    <x v="0"/>
    <x v="0"/>
  </r>
  <r>
    <x v="206"/>
    <x v="40"/>
    <x v="4"/>
    <x v="2"/>
    <x v="17"/>
    <x v="0"/>
    <x v="0"/>
    <x v="22"/>
    <x v="21"/>
    <x v="1"/>
    <x v="1"/>
  </r>
  <r>
    <x v="295"/>
    <x v="58"/>
    <x v="3"/>
    <x v="0"/>
    <x v="6"/>
    <x v="4"/>
    <x v="0"/>
    <x v="69"/>
    <x v="67"/>
    <x v="1"/>
    <x v="1"/>
  </r>
  <r>
    <x v="940"/>
    <x v="177"/>
    <x v="0"/>
    <x v="3"/>
    <x v="20"/>
    <x v="5"/>
    <x v="0"/>
    <x v="2"/>
    <x v="2"/>
    <x v="1"/>
    <x v="0"/>
  </r>
  <r>
    <x v="73"/>
    <x v="14"/>
    <x v="3"/>
    <x v="3"/>
    <x v="4"/>
    <x v="3"/>
    <x v="0"/>
    <x v="15"/>
    <x v="15"/>
    <x v="0"/>
    <x v="0"/>
  </r>
  <r>
    <x v="707"/>
    <x v="131"/>
    <x v="4"/>
    <x v="0"/>
    <x v="9"/>
    <x v="9"/>
    <x v="0"/>
    <x v="125"/>
    <x v="117"/>
    <x v="1"/>
    <x v="1"/>
  </r>
  <r>
    <x v="104"/>
    <x v="19"/>
    <x v="0"/>
    <x v="2"/>
    <x v="7"/>
    <x v="1"/>
    <x v="0"/>
    <x v="206"/>
    <x v="193"/>
    <x v="1"/>
    <x v="1"/>
  </r>
  <r>
    <x v="672"/>
    <x v="123"/>
    <x v="3"/>
    <x v="1"/>
    <x v="2"/>
    <x v="6"/>
    <x v="1"/>
    <x v="178"/>
    <x v="288"/>
    <x v="0"/>
    <x v="2"/>
  </r>
  <r>
    <x v="911"/>
    <x v="170"/>
    <x v="2"/>
    <x v="3"/>
    <x v="4"/>
    <x v="1"/>
    <x v="0"/>
    <x v="14"/>
    <x v="14"/>
    <x v="1"/>
    <x v="2"/>
  </r>
  <r>
    <x v="16"/>
    <x v="2"/>
    <x v="3"/>
    <x v="1"/>
    <x v="13"/>
    <x v="1"/>
    <x v="0"/>
    <x v="379"/>
    <x v="445"/>
    <x v="0"/>
    <x v="1"/>
  </r>
  <r>
    <x v="439"/>
    <x v="84"/>
    <x v="3"/>
    <x v="3"/>
    <x v="16"/>
    <x v="7"/>
    <x v="0"/>
    <x v="109"/>
    <x v="104"/>
    <x v="1"/>
    <x v="2"/>
  </r>
  <r>
    <x v="91"/>
    <x v="17"/>
    <x v="2"/>
    <x v="1"/>
    <x v="8"/>
    <x v="0"/>
    <x v="0"/>
    <x v="134"/>
    <x v="125"/>
    <x v="1"/>
    <x v="0"/>
  </r>
  <r>
    <x v="88"/>
    <x v="16"/>
    <x v="4"/>
    <x v="1"/>
    <x v="12"/>
    <x v="7"/>
    <x v="0"/>
    <x v="429"/>
    <x v="491"/>
    <x v="0"/>
    <x v="1"/>
  </r>
  <r>
    <x v="450"/>
    <x v="86"/>
    <x v="3"/>
    <x v="3"/>
    <x v="3"/>
    <x v="0"/>
    <x v="0"/>
    <x v="151"/>
    <x v="142"/>
    <x v="0"/>
    <x v="1"/>
  </r>
  <r>
    <x v="102"/>
    <x v="19"/>
    <x v="0"/>
    <x v="2"/>
    <x v="10"/>
    <x v="8"/>
    <x v="0"/>
    <x v="63"/>
    <x v="61"/>
    <x v="1"/>
    <x v="1"/>
  </r>
  <r>
    <x v="238"/>
    <x v="47"/>
    <x v="3"/>
    <x v="0"/>
    <x v="23"/>
    <x v="3"/>
    <x v="1"/>
    <x v="172"/>
    <x v="284"/>
    <x v="0"/>
    <x v="0"/>
  </r>
  <r>
    <x v="684"/>
    <x v="126"/>
    <x v="3"/>
    <x v="3"/>
    <x v="4"/>
    <x v="4"/>
    <x v="0"/>
    <x v="10"/>
    <x v="10"/>
    <x v="1"/>
    <x v="1"/>
  </r>
  <r>
    <x v="246"/>
    <x v="49"/>
    <x v="3"/>
    <x v="3"/>
    <x v="3"/>
    <x v="4"/>
    <x v="0"/>
    <x v="163"/>
    <x v="154"/>
    <x v="0"/>
    <x v="1"/>
  </r>
  <r>
    <x v="676"/>
    <x v="124"/>
    <x v="1"/>
    <x v="0"/>
    <x v="9"/>
    <x v="8"/>
    <x v="0"/>
    <x v="116"/>
    <x v="109"/>
    <x v="0"/>
    <x v="0"/>
  </r>
  <r>
    <x v="157"/>
    <x v="30"/>
    <x v="4"/>
    <x v="2"/>
    <x v="17"/>
    <x v="3"/>
    <x v="0"/>
    <x v="21"/>
    <x v="20"/>
    <x v="1"/>
    <x v="2"/>
  </r>
  <r>
    <x v="479"/>
    <x v="89"/>
    <x v="0"/>
    <x v="2"/>
    <x v="19"/>
    <x v="2"/>
    <x v="1"/>
    <x v="226"/>
    <x v="309"/>
    <x v="0"/>
    <x v="0"/>
  </r>
  <r>
    <x v="645"/>
    <x v="118"/>
    <x v="4"/>
    <x v="3"/>
    <x v="5"/>
    <x v="3"/>
    <x v="0"/>
    <x v="37"/>
    <x v="36"/>
    <x v="1"/>
    <x v="2"/>
  </r>
  <r>
    <x v="800"/>
    <x v="149"/>
    <x v="3"/>
    <x v="4"/>
    <x v="21"/>
    <x v="0"/>
    <x v="0"/>
    <x v="323"/>
    <x v="375"/>
    <x v="1"/>
    <x v="1"/>
  </r>
  <r>
    <x v="779"/>
    <x v="144"/>
    <x v="2"/>
    <x v="3"/>
    <x v="3"/>
    <x v="0"/>
    <x v="1"/>
    <x v="167"/>
    <x v="281"/>
    <x v="0"/>
    <x v="1"/>
  </r>
  <r>
    <x v="18"/>
    <x v="3"/>
    <x v="2"/>
    <x v="2"/>
    <x v="19"/>
    <x v="1"/>
    <x v="0"/>
    <x v="227"/>
    <x v="212"/>
    <x v="1"/>
    <x v="0"/>
  </r>
  <r>
    <x v="669"/>
    <x v="122"/>
    <x v="4"/>
    <x v="3"/>
    <x v="20"/>
    <x v="0"/>
    <x v="0"/>
    <x v="4"/>
    <x v="4"/>
    <x v="1"/>
    <x v="0"/>
  </r>
  <r>
    <x v="121"/>
    <x v="22"/>
    <x v="4"/>
    <x v="3"/>
    <x v="4"/>
    <x v="3"/>
    <x v="0"/>
    <x v="16"/>
    <x v="16"/>
    <x v="1"/>
    <x v="1"/>
  </r>
  <r>
    <x v="668"/>
    <x v="122"/>
    <x v="4"/>
    <x v="3"/>
    <x v="4"/>
    <x v="4"/>
    <x v="1"/>
    <x v="15"/>
    <x v="100"/>
    <x v="0"/>
    <x v="2"/>
  </r>
  <r>
    <x v="274"/>
    <x v="55"/>
    <x v="3"/>
    <x v="0"/>
    <x v="6"/>
    <x v="7"/>
    <x v="0"/>
    <x v="76"/>
    <x v="73"/>
    <x v="0"/>
    <x v="0"/>
  </r>
  <r>
    <x v="433"/>
    <x v="83"/>
    <x v="4"/>
    <x v="2"/>
    <x v="10"/>
    <x v="1"/>
    <x v="0"/>
    <x v="55"/>
    <x v="53"/>
    <x v="1"/>
    <x v="0"/>
  </r>
  <r>
    <x v="850"/>
    <x v="158"/>
    <x v="4"/>
    <x v="3"/>
    <x v="5"/>
    <x v="9"/>
    <x v="0"/>
    <x v="42"/>
    <x v="41"/>
    <x v="1"/>
    <x v="1"/>
  </r>
  <r>
    <x v="311"/>
    <x v="63"/>
    <x v="2"/>
    <x v="0"/>
    <x v="11"/>
    <x v="4"/>
    <x v="0"/>
    <x v="46"/>
    <x v="45"/>
    <x v="1"/>
    <x v="0"/>
  </r>
  <r>
    <x v="720"/>
    <x v="134"/>
    <x v="4"/>
    <x v="0"/>
    <x v="6"/>
    <x v="0"/>
    <x v="0"/>
    <x v="70"/>
    <x v="68"/>
    <x v="1"/>
    <x v="2"/>
  </r>
  <r>
    <x v="790"/>
    <x v="147"/>
    <x v="4"/>
    <x v="0"/>
    <x v="9"/>
    <x v="3"/>
    <x v="1"/>
    <x v="115"/>
    <x v="253"/>
    <x v="0"/>
    <x v="1"/>
  </r>
  <r>
    <x v="546"/>
    <x v="98"/>
    <x v="1"/>
    <x v="0"/>
    <x v="23"/>
    <x v="6"/>
    <x v="0"/>
    <x v="154"/>
    <x v="145"/>
    <x v="1"/>
    <x v="1"/>
  </r>
  <r>
    <x v="181"/>
    <x v="35"/>
    <x v="1"/>
    <x v="2"/>
    <x v="7"/>
    <x v="1"/>
    <x v="0"/>
    <x v="212"/>
    <x v="198"/>
    <x v="0"/>
    <x v="0"/>
  </r>
  <r>
    <x v="184"/>
    <x v="36"/>
    <x v="0"/>
    <x v="2"/>
    <x v="19"/>
    <x v="5"/>
    <x v="1"/>
    <x v="225"/>
    <x v="308"/>
    <x v="1"/>
    <x v="1"/>
  </r>
  <r>
    <x v="406"/>
    <x v="80"/>
    <x v="3"/>
    <x v="0"/>
    <x v="6"/>
    <x v="9"/>
    <x v="0"/>
    <x v="69"/>
    <x v="67"/>
    <x v="1"/>
    <x v="0"/>
  </r>
  <r>
    <x v="606"/>
    <x v="109"/>
    <x v="1"/>
    <x v="0"/>
    <x v="14"/>
    <x v="8"/>
    <x v="0"/>
    <x v="76"/>
    <x v="73"/>
    <x v="0"/>
    <x v="2"/>
  </r>
  <r>
    <x v="520"/>
    <x v="94"/>
    <x v="1"/>
    <x v="4"/>
    <x v="22"/>
    <x v="8"/>
    <x v="0"/>
    <x v="299"/>
    <x v="357"/>
    <x v="1"/>
    <x v="1"/>
  </r>
  <r>
    <x v="380"/>
    <x v="77"/>
    <x v="4"/>
    <x v="0"/>
    <x v="14"/>
    <x v="2"/>
    <x v="1"/>
    <x v="93"/>
    <x v="240"/>
    <x v="0"/>
    <x v="2"/>
  </r>
  <r>
    <x v="410"/>
    <x v="81"/>
    <x v="2"/>
    <x v="0"/>
    <x v="6"/>
    <x v="2"/>
    <x v="1"/>
    <x v="69"/>
    <x v="205"/>
    <x v="1"/>
    <x v="0"/>
  </r>
  <r>
    <x v="634"/>
    <x v="115"/>
    <x v="3"/>
    <x v="3"/>
    <x v="4"/>
    <x v="8"/>
    <x v="1"/>
    <x v="15"/>
    <x v="100"/>
    <x v="1"/>
    <x v="2"/>
  </r>
  <r>
    <x v="369"/>
    <x v="74"/>
    <x v="4"/>
    <x v="4"/>
    <x v="22"/>
    <x v="7"/>
    <x v="0"/>
    <x v="294"/>
    <x v="353"/>
    <x v="0"/>
    <x v="0"/>
  </r>
  <r>
    <x v="769"/>
    <x v="142"/>
    <x v="3"/>
    <x v="2"/>
    <x v="19"/>
    <x v="5"/>
    <x v="0"/>
    <x v="232"/>
    <x v="218"/>
    <x v="1"/>
    <x v="2"/>
  </r>
  <r>
    <x v="788"/>
    <x v="146"/>
    <x v="1"/>
    <x v="3"/>
    <x v="16"/>
    <x v="0"/>
    <x v="0"/>
    <x v="109"/>
    <x v="104"/>
    <x v="0"/>
    <x v="1"/>
  </r>
  <r>
    <x v="715"/>
    <x v="133"/>
    <x v="0"/>
    <x v="0"/>
    <x v="23"/>
    <x v="1"/>
    <x v="0"/>
    <x v="166"/>
    <x v="157"/>
    <x v="1"/>
    <x v="2"/>
  </r>
  <r>
    <x v="78"/>
    <x v="15"/>
    <x v="3"/>
    <x v="3"/>
    <x v="4"/>
    <x v="5"/>
    <x v="0"/>
    <x v="14"/>
    <x v="14"/>
    <x v="1"/>
    <x v="0"/>
  </r>
  <r>
    <x v="573"/>
    <x v="102"/>
    <x v="4"/>
    <x v="4"/>
    <x v="21"/>
    <x v="4"/>
    <x v="0"/>
    <x v="331"/>
    <x v="383"/>
    <x v="1"/>
    <x v="2"/>
  </r>
  <r>
    <x v="637"/>
    <x v="115"/>
    <x v="4"/>
    <x v="3"/>
    <x v="4"/>
    <x v="5"/>
    <x v="0"/>
    <x v="13"/>
    <x v="13"/>
    <x v="1"/>
    <x v="0"/>
  </r>
  <r>
    <x v="607"/>
    <x v="109"/>
    <x v="3"/>
    <x v="3"/>
    <x v="20"/>
    <x v="9"/>
    <x v="0"/>
    <x v="7"/>
    <x v="7"/>
    <x v="1"/>
    <x v="0"/>
  </r>
  <r>
    <x v="753"/>
    <x v="140"/>
    <x v="2"/>
    <x v="3"/>
    <x v="20"/>
    <x v="8"/>
    <x v="1"/>
    <x v="4"/>
    <x v="58"/>
    <x v="1"/>
    <x v="2"/>
  </r>
  <r>
    <x v="937"/>
    <x v="176"/>
    <x v="2"/>
    <x v="2"/>
    <x v="7"/>
    <x v="2"/>
    <x v="0"/>
    <x v="200"/>
    <x v="187"/>
    <x v="1"/>
    <x v="1"/>
  </r>
  <r>
    <x v="786"/>
    <x v="146"/>
    <x v="2"/>
    <x v="1"/>
    <x v="8"/>
    <x v="5"/>
    <x v="0"/>
    <x v="141"/>
    <x v="132"/>
    <x v="0"/>
    <x v="2"/>
  </r>
  <r>
    <x v="876"/>
    <x v="163"/>
    <x v="1"/>
    <x v="1"/>
    <x v="12"/>
    <x v="7"/>
    <x v="0"/>
    <x v="440"/>
    <x v="499"/>
    <x v="0"/>
    <x v="1"/>
  </r>
  <r>
    <x v="416"/>
    <x v="81"/>
    <x v="2"/>
    <x v="4"/>
    <x v="1"/>
    <x v="2"/>
    <x v="0"/>
    <x v="244"/>
    <x v="232"/>
    <x v="0"/>
    <x v="1"/>
  </r>
  <r>
    <x v="903"/>
    <x v="169"/>
    <x v="0"/>
    <x v="1"/>
    <x v="8"/>
    <x v="4"/>
    <x v="0"/>
    <x v="140"/>
    <x v="131"/>
    <x v="1"/>
    <x v="1"/>
  </r>
  <r>
    <x v="561"/>
    <x v="100"/>
    <x v="2"/>
    <x v="1"/>
    <x v="18"/>
    <x v="5"/>
    <x v="0"/>
    <x v="412"/>
    <x v="471"/>
    <x v="0"/>
    <x v="0"/>
  </r>
  <r>
    <x v="67"/>
    <x v="13"/>
    <x v="3"/>
    <x v="4"/>
    <x v="1"/>
    <x v="3"/>
    <x v="0"/>
    <x v="246"/>
    <x v="234"/>
    <x v="1"/>
    <x v="1"/>
  </r>
  <r>
    <x v="536"/>
    <x v="96"/>
    <x v="2"/>
    <x v="3"/>
    <x v="4"/>
    <x v="5"/>
    <x v="1"/>
    <x v="16"/>
    <x v="102"/>
    <x v="0"/>
    <x v="1"/>
  </r>
  <r>
    <x v="77"/>
    <x v="14"/>
    <x v="3"/>
    <x v="2"/>
    <x v="17"/>
    <x v="5"/>
    <x v="1"/>
    <x v="30"/>
    <x v="146"/>
    <x v="1"/>
    <x v="0"/>
  </r>
  <r>
    <x v="105"/>
    <x v="19"/>
    <x v="3"/>
    <x v="0"/>
    <x v="9"/>
    <x v="5"/>
    <x v="0"/>
    <x v="119"/>
    <x v="111"/>
    <x v="0"/>
    <x v="1"/>
  </r>
  <r>
    <x v="951"/>
    <x v="179"/>
    <x v="3"/>
    <x v="4"/>
    <x v="1"/>
    <x v="6"/>
    <x v="0"/>
    <x v="242"/>
    <x v="230"/>
    <x v="0"/>
    <x v="2"/>
  </r>
  <r>
    <x v="739"/>
    <x v="137"/>
    <x v="1"/>
    <x v="0"/>
    <x v="23"/>
    <x v="6"/>
    <x v="0"/>
    <x v="169"/>
    <x v="160"/>
    <x v="1"/>
    <x v="1"/>
  </r>
  <r>
    <x v="638"/>
    <x v="116"/>
    <x v="4"/>
    <x v="4"/>
    <x v="21"/>
    <x v="9"/>
    <x v="0"/>
    <x v="336"/>
    <x v="389"/>
    <x v="1"/>
    <x v="2"/>
  </r>
  <r>
    <x v="559"/>
    <x v="99"/>
    <x v="2"/>
    <x v="3"/>
    <x v="16"/>
    <x v="3"/>
    <x v="2"/>
    <x v="110"/>
    <x v="298"/>
    <x v="0"/>
    <x v="1"/>
  </r>
  <r>
    <x v="722"/>
    <x v="134"/>
    <x v="4"/>
    <x v="2"/>
    <x v="7"/>
    <x v="6"/>
    <x v="0"/>
    <x v="215"/>
    <x v="200"/>
    <x v="0"/>
    <x v="1"/>
  </r>
  <r>
    <x v="690"/>
    <x v="127"/>
    <x v="2"/>
    <x v="4"/>
    <x v="15"/>
    <x v="2"/>
    <x v="1"/>
    <x v="359"/>
    <x v="438"/>
    <x v="0"/>
    <x v="2"/>
  </r>
  <r>
    <x v="822"/>
    <x v="153"/>
    <x v="1"/>
    <x v="3"/>
    <x v="4"/>
    <x v="6"/>
    <x v="0"/>
    <x v="10"/>
    <x v="10"/>
    <x v="0"/>
    <x v="0"/>
  </r>
  <r>
    <x v="888"/>
    <x v="166"/>
    <x v="3"/>
    <x v="0"/>
    <x v="14"/>
    <x v="1"/>
    <x v="0"/>
    <x v="86"/>
    <x v="82"/>
    <x v="0"/>
    <x v="2"/>
  </r>
  <r>
    <x v="923"/>
    <x v="173"/>
    <x v="2"/>
    <x v="1"/>
    <x v="0"/>
    <x v="9"/>
    <x v="0"/>
    <x v="278"/>
    <x v="338"/>
    <x v="1"/>
    <x v="1"/>
  </r>
  <r>
    <x v="737"/>
    <x v="136"/>
    <x v="4"/>
    <x v="4"/>
    <x v="15"/>
    <x v="5"/>
    <x v="0"/>
    <x v="341"/>
    <x v="394"/>
    <x v="0"/>
    <x v="1"/>
  </r>
  <r>
    <x v="490"/>
    <x v="90"/>
    <x v="4"/>
    <x v="1"/>
    <x v="18"/>
    <x v="4"/>
    <x v="1"/>
    <x v="397"/>
    <x v="500"/>
    <x v="1"/>
    <x v="2"/>
  </r>
  <r>
    <x v="942"/>
    <x v="177"/>
    <x v="2"/>
    <x v="0"/>
    <x v="14"/>
    <x v="5"/>
    <x v="0"/>
    <x v="86"/>
    <x v="82"/>
    <x v="1"/>
    <x v="0"/>
  </r>
  <r>
    <x v="799"/>
    <x v="149"/>
    <x v="2"/>
    <x v="0"/>
    <x v="14"/>
    <x v="6"/>
    <x v="0"/>
    <x v="76"/>
    <x v="73"/>
    <x v="0"/>
    <x v="2"/>
  </r>
  <r>
    <x v="605"/>
    <x v="109"/>
    <x v="0"/>
    <x v="1"/>
    <x v="2"/>
    <x v="7"/>
    <x v="1"/>
    <x v="189"/>
    <x v="292"/>
    <x v="1"/>
    <x v="1"/>
  </r>
  <r>
    <x v="363"/>
    <x v="72"/>
    <x v="3"/>
    <x v="0"/>
    <x v="11"/>
    <x v="4"/>
    <x v="0"/>
    <x v="50"/>
    <x v="48"/>
    <x v="1"/>
    <x v="1"/>
  </r>
  <r>
    <x v="69"/>
    <x v="13"/>
    <x v="2"/>
    <x v="0"/>
    <x v="9"/>
    <x v="6"/>
    <x v="0"/>
    <x v="121"/>
    <x v="113"/>
    <x v="0"/>
    <x v="0"/>
  </r>
  <r>
    <x v="548"/>
    <x v="98"/>
    <x v="2"/>
    <x v="2"/>
    <x v="19"/>
    <x v="6"/>
    <x v="0"/>
    <x v="232"/>
    <x v="218"/>
    <x v="1"/>
    <x v="0"/>
  </r>
  <r>
    <x v="160"/>
    <x v="30"/>
    <x v="0"/>
    <x v="3"/>
    <x v="4"/>
    <x v="5"/>
    <x v="0"/>
    <x v="17"/>
    <x v="17"/>
    <x v="1"/>
    <x v="0"/>
  </r>
  <r>
    <x v="11"/>
    <x v="2"/>
    <x v="2"/>
    <x v="2"/>
    <x v="17"/>
    <x v="2"/>
    <x v="0"/>
    <x v="21"/>
    <x v="20"/>
    <x v="0"/>
    <x v="1"/>
  </r>
  <r>
    <x v="144"/>
    <x v="27"/>
    <x v="2"/>
    <x v="2"/>
    <x v="10"/>
    <x v="9"/>
    <x v="0"/>
    <x v="60"/>
    <x v="58"/>
    <x v="1"/>
    <x v="2"/>
  </r>
  <r>
    <x v="517"/>
    <x v="93"/>
    <x v="0"/>
    <x v="0"/>
    <x v="14"/>
    <x v="7"/>
    <x v="0"/>
    <x v="80"/>
    <x v="77"/>
    <x v="1"/>
    <x v="0"/>
  </r>
  <r>
    <x v="427"/>
    <x v="83"/>
    <x v="2"/>
    <x v="0"/>
    <x v="14"/>
    <x v="8"/>
    <x v="0"/>
    <x v="90"/>
    <x v="86"/>
    <x v="1"/>
    <x v="2"/>
  </r>
  <r>
    <x v="639"/>
    <x v="116"/>
    <x v="2"/>
    <x v="1"/>
    <x v="8"/>
    <x v="0"/>
    <x v="1"/>
    <x v="142"/>
    <x v="266"/>
    <x v="1"/>
    <x v="1"/>
  </r>
  <r>
    <x v="176"/>
    <x v="34"/>
    <x v="2"/>
    <x v="4"/>
    <x v="21"/>
    <x v="0"/>
    <x v="0"/>
    <x v="332"/>
    <x v="384"/>
    <x v="0"/>
    <x v="1"/>
  </r>
  <r>
    <x v="440"/>
    <x v="85"/>
    <x v="1"/>
    <x v="3"/>
    <x v="3"/>
    <x v="7"/>
    <x v="0"/>
    <x v="151"/>
    <x v="142"/>
    <x v="1"/>
    <x v="1"/>
  </r>
  <r>
    <x v="521"/>
    <x v="94"/>
    <x v="4"/>
    <x v="3"/>
    <x v="20"/>
    <x v="3"/>
    <x v="0"/>
    <x v="5"/>
    <x v="5"/>
    <x v="1"/>
    <x v="0"/>
  </r>
  <r>
    <x v="825"/>
    <x v="154"/>
    <x v="2"/>
    <x v="1"/>
    <x v="0"/>
    <x v="3"/>
    <x v="0"/>
    <x v="262"/>
    <x v="324"/>
    <x v="1"/>
    <x v="0"/>
  </r>
  <r>
    <x v="892"/>
    <x v="167"/>
    <x v="1"/>
    <x v="1"/>
    <x v="0"/>
    <x v="4"/>
    <x v="1"/>
    <x v="260"/>
    <x v="412"/>
    <x v="1"/>
    <x v="2"/>
  </r>
  <r>
    <x v="688"/>
    <x v="127"/>
    <x v="0"/>
    <x v="0"/>
    <x v="11"/>
    <x v="8"/>
    <x v="1"/>
    <x v="53"/>
    <x v="182"/>
    <x v="1"/>
    <x v="1"/>
  </r>
  <r>
    <x v="231"/>
    <x v="46"/>
    <x v="2"/>
    <x v="3"/>
    <x v="20"/>
    <x v="5"/>
    <x v="0"/>
    <x v="1"/>
    <x v="1"/>
    <x v="1"/>
    <x v="1"/>
  </r>
  <r>
    <x v="210"/>
    <x v="41"/>
    <x v="3"/>
    <x v="2"/>
    <x v="19"/>
    <x v="8"/>
    <x v="0"/>
    <x v="235"/>
    <x v="222"/>
    <x v="1"/>
    <x v="0"/>
  </r>
  <r>
    <x v="640"/>
    <x v="116"/>
    <x v="2"/>
    <x v="0"/>
    <x v="11"/>
    <x v="7"/>
    <x v="0"/>
    <x v="45"/>
    <x v="44"/>
    <x v="1"/>
    <x v="2"/>
  </r>
  <r>
    <x v="143"/>
    <x v="27"/>
    <x v="1"/>
    <x v="0"/>
    <x v="9"/>
    <x v="3"/>
    <x v="2"/>
    <x v="126"/>
    <x v="303"/>
    <x v="1"/>
    <x v="0"/>
  </r>
  <r>
    <x v="519"/>
    <x v="93"/>
    <x v="3"/>
    <x v="1"/>
    <x v="18"/>
    <x v="8"/>
    <x v="0"/>
    <x v="415"/>
    <x v="473"/>
    <x v="0"/>
    <x v="1"/>
  </r>
  <r>
    <x v="948"/>
    <x v="178"/>
    <x v="2"/>
    <x v="2"/>
    <x v="7"/>
    <x v="4"/>
    <x v="0"/>
    <x v="204"/>
    <x v="191"/>
    <x v="0"/>
    <x v="2"/>
  </r>
  <r>
    <x v="298"/>
    <x v="59"/>
    <x v="2"/>
    <x v="2"/>
    <x v="19"/>
    <x v="0"/>
    <x v="0"/>
    <x v="227"/>
    <x v="212"/>
    <x v="1"/>
    <x v="1"/>
  </r>
  <r>
    <x v="428"/>
    <x v="83"/>
    <x v="2"/>
    <x v="0"/>
    <x v="6"/>
    <x v="2"/>
    <x v="0"/>
    <x v="79"/>
    <x v="76"/>
    <x v="1"/>
    <x v="0"/>
  </r>
  <r>
    <x v="612"/>
    <x v="111"/>
    <x v="3"/>
    <x v="1"/>
    <x v="18"/>
    <x v="8"/>
    <x v="0"/>
    <x v="407"/>
    <x v="468"/>
    <x v="1"/>
    <x v="1"/>
  </r>
  <r>
    <x v="880"/>
    <x v="164"/>
    <x v="4"/>
    <x v="0"/>
    <x v="6"/>
    <x v="9"/>
    <x v="0"/>
    <x v="75"/>
    <x v="72"/>
    <x v="1"/>
    <x v="0"/>
  </r>
  <r>
    <x v="8"/>
    <x v="1"/>
    <x v="2"/>
    <x v="0"/>
    <x v="11"/>
    <x v="1"/>
    <x v="0"/>
    <x v="43"/>
    <x v="42"/>
    <x v="1"/>
    <x v="0"/>
  </r>
  <r>
    <x v="156"/>
    <x v="30"/>
    <x v="2"/>
    <x v="2"/>
    <x v="17"/>
    <x v="6"/>
    <x v="0"/>
    <x v="24"/>
    <x v="23"/>
    <x v="1"/>
    <x v="1"/>
  </r>
  <r>
    <x v="539"/>
    <x v="96"/>
    <x v="3"/>
    <x v="0"/>
    <x v="23"/>
    <x v="5"/>
    <x v="0"/>
    <x v="170"/>
    <x v="161"/>
    <x v="1"/>
    <x v="1"/>
  </r>
  <r>
    <x v="506"/>
    <x v="92"/>
    <x v="2"/>
    <x v="0"/>
    <x v="23"/>
    <x v="9"/>
    <x v="3"/>
    <x v="167"/>
    <x v="346"/>
    <x v="1"/>
    <x v="1"/>
  </r>
  <r>
    <x v="436"/>
    <x v="84"/>
    <x v="4"/>
    <x v="3"/>
    <x v="4"/>
    <x v="9"/>
    <x v="0"/>
    <x v="15"/>
    <x v="15"/>
    <x v="0"/>
    <x v="1"/>
  </r>
  <r>
    <x v="266"/>
    <x v="53"/>
    <x v="4"/>
    <x v="4"/>
    <x v="21"/>
    <x v="8"/>
    <x v="1"/>
    <x v="325"/>
    <x v="430"/>
    <x v="0"/>
    <x v="1"/>
  </r>
  <r>
    <x v="461"/>
    <x v="87"/>
    <x v="4"/>
    <x v="0"/>
    <x v="14"/>
    <x v="3"/>
    <x v="0"/>
    <x v="88"/>
    <x v="84"/>
    <x v="0"/>
    <x v="0"/>
  </r>
  <r>
    <x v="576"/>
    <x v="103"/>
    <x v="4"/>
    <x v="2"/>
    <x v="17"/>
    <x v="1"/>
    <x v="0"/>
    <x v="29"/>
    <x v="28"/>
    <x v="1"/>
    <x v="0"/>
  </r>
  <r>
    <x v="338"/>
    <x v="67"/>
    <x v="2"/>
    <x v="1"/>
    <x v="12"/>
    <x v="5"/>
    <x v="0"/>
    <x v="439"/>
    <x v="498"/>
    <x v="1"/>
    <x v="0"/>
  </r>
  <r>
    <x v="255"/>
    <x v="51"/>
    <x v="2"/>
    <x v="1"/>
    <x v="18"/>
    <x v="2"/>
    <x v="0"/>
    <x v="408"/>
    <x v="469"/>
    <x v="1"/>
    <x v="1"/>
  </r>
  <r>
    <x v="950"/>
    <x v="179"/>
    <x v="4"/>
    <x v="3"/>
    <x v="5"/>
    <x v="9"/>
    <x v="1"/>
    <x v="31"/>
    <x v="148"/>
    <x v="0"/>
    <x v="2"/>
  </r>
  <r>
    <x v="805"/>
    <x v="149"/>
    <x v="3"/>
    <x v="0"/>
    <x v="6"/>
    <x v="3"/>
    <x v="0"/>
    <x v="69"/>
    <x v="67"/>
    <x v="1"/>
    <x v="0"/>
  </r>
  <r>
    <x v="665"/>
    <x v="121"/>
    <x v="4"/>
    <x v="3"/>
    <x v="4"/>
    <x v="0"/>
    <x v="0"/>
    <x v="15"/>
    <x v="15"/>
    <x v="0"/>
    <x v="2"/>
  </r>
  <r>
    <x v="560"/>
    <x v="100"/>
    <x v="3"/>
    <x v="0"/>
    <x v="11"/>
    <x v="5"/>
    <x v="0"/>
    <x v="54"/>
    <x v="52"/>
    <x v="1"/>
    <x v="0"/>
  </r>
  <r>
    <x v="208"/>
    <x v="40"/>
    <x v="2"/>
    <x v="2"/>
    <x v="10"/>
    <x v="7"/>
    <x v="1"/>
    <x v="65"/>
    <x v="199"/>
    <x v="1"/>
    <x v="1"/>
  </r>
  <r>
    <x v="287"/>
    <x v="57"/>
    <x v="0"/>
    <x v="0"/>
    <x v="11"/>
    <x v="9"/>
    <x v="0"/>
    <x v="50"/>
    <x v="48"/>
    <x v="0"/>
    <x v="1"/>
  </r>
  <r>
    <x v="1"/>
    <x v="0"/>
    <x v="4"/>
    <x v="3"/>
    <x v="16"/>
    <x v="6"/>
    <x v="0"/>
    <x v="108"/>
    <x v="103"/>
    <x v="0"/>
    <x v="1"/>
  </r>
  <r>
    <x v="341"/>
    <x v="68"/>
    <x v="2"/>
    <x v="3"/>
    <x v="5"/>
    <x v="0"/>
    <x v="1"/>
    <x v="40"/>
    <x v="163"/>
    <x v="0"/>
    <x v="1"/>
  </r>
  <r>
    <x v="269"/>
    <x v="54"/>
    <x v="4"/>
    <x v="0"/>
    <x v="6"/>
    <x v="4"/>
    <x v="0"/>
    <x v="74"/>
    <x v="71"/>
    <x v="1"/>
    <x v="0"/>
  </r>
  <r>
    <x v="265"/>
    <x v="53"/>
    <x v="2"/>
    <x v="0"/>
    <x v="11"/>
    <x v="8"/>
    <x v="0"/>
    <x v="51"/>
    <x v="49"/>
    <x v="1"/>
    <x v="1"/>
  </r>
  <r>
    <x v="912"/>
    <x v="171"/>
    <x v="3"/>
    <x v="1"/>
    <x v="8"/>
    <x v="5"/>
    <x v="1"/>
    <x v="131"/>
    <x v="260"/>
    <x v="0"/>
    <x v="1"/>
  </r>
  <r>
    <x v="778"/>
    <x v="144"/>
    <x v="2"/>
    <x v="3"/>
    <x v="20"/>
    <x v="5"/>
    <x v="0"/>
    <x v="7"/>
    <x v="7"/>
    <x v="0"/>
    <x v="2"/>
  </r>
  <r>
    <x v="95"/>
    <x v="17"/>
    <x v="2"/>
    <x v="4"/>
    <x v="22"/>
    <x v="9"/>
    <x v="1"/>
    <x v="289"/>
    <x v="418"/>
    <x v="0"/>
    <x v="2"/>
  </r>
  <r>
    <x v="917"/>
    <x v="171"/>
    <x v="2"/>
    <x v="1"/>
    <x v="8"/>
    <x v="1"/>
    <x v="0"/>
    <x v="140"/>
    <x v="131"/>
    <x v="1"/>
    <x v="1"/>
  </r>
  <r>
    <x v="42"/>
    <x v="8"/>
    <x v="2"/>
    <x v="4"/>
    <x v="15"/>
    <x v="9"/>
    <x v="1"/>
    <x v="343"/>
    <x v="434"/>
    <x v="1"/>
    <x v="0"/>
  </r>
  <r>
    <x v="871"/>
    <x v="162"/>
    <x v="1"/>
    <x v="3"/>
    <x v="16"/>
    <x v="6"/>
    <x v="0"/>
    <x v="104"/>
    <x v="99"/>
    <x v="0"/>
    <x v="2"/>
  </r>
  <r>
    <x v="946"/>
    <x v="178"/>
    <x v="2"/>
    <x v="1"/>
    <x v="18"/>
    <x v="4"/>
    <x v="0"/>
    <x v="419"/>
    <x v="474"/>
    <x v="0"/>
    <x v="1"/>
  </r>
  <r>
    <x v="789"/>
    <x v="146"/>
    <x v="3"/>
    <x v="1"/>
    <x v="12"/>
    <x v="3"/>
    <x v="1"/>
    <x v="436"/>
    <x v="518"/>
    <x v="1"/>
    <x v="1"/>
  </r>
  <r>
    <x v="628"/>
    <x v="113"/>
    <x v="3"/>
    <x v="3"/>
    <x v="5"/>
    <x v="5"/>
    <x v="1"/>
    <x v="41"/>
    <x v="165"/>
    <x v="1"/>
    <x v="0"/>
  </r>
  <r>
    <x v="45"/>
    <x v="8"/>
    <x v="1"/>
    <x v="1"/>
    <x v="2"/>
    <x v="2"/>
    <x v="0"/>
    <x v="185"/>
    <x v="174"/>
    <x v="1"/>
    <x v="1"/>
  </r>
  <r>
    <x v="161"/>
    <x v="31"/>
    <x v="0"/>
    <x v="0"/>
    <x v="11"/>
    <x v="3"/>
    <x v="0"/>
    <x v="49"/>
    <x v="47"/>
    <x v="1"/>
    <x v="0"/>
  </r>
  <r>
    <x v="727"/>
    <x v="135"/>
    <x v="3"/>
    <x v="4"/>
    <x v="21"/>
    <x v="8"/>
    <x v="0"/>
    <x v="338"/>
    <x v="391"/>
    <x v="1"/>
    <x v="2"/>
  </r>
  <r>
    <x v="629"/>
    <x v="114"/>
    <x v="2"/>
    <x v="2"/>
    <x v="19"/>
    <x v="2"/>
    <x v="0"/>
    <x v="226"/>
    <x v="211"/>
    <x v="1"/>
    <x v="2"/>
  </r>
  <r>
    <x v="288"/>
    <x v="58"/>
    <x v="3"/>
    <x v="0"/>
    <x v="9"/>
    <x v="1"/>
    <x v="0"/>
    <x v="116"/>
    <x v="109"/>
    <x v="0"/>
    <x v="1"/>
  </r>
  <r>
    <x v="589"/>
    <x v="106"/>
    <x v="2"/>
    <x v="3"/>
    <x v="5"/>
    <x v="2"/>
    <x v="0"/>
    <x v="34"/>
    <x v="33"/>
    <x v="0"/>
    <x v="0"/>
  </r>
  <r>
    <x v="847"/>
    <x v="158"/>
    <x v="3"/>
    <x v="4"/>
    <x v="1"/>
    <x v="7"/>
    <x v="0"/>
    <x v="240"/>
    <x v="227"/>
    <x v="1"/>
    <x v="1"/>
  </r>
  <r>
    <x v="902"/>
    <x v="169"/>
    <x v="3"/>
    <x v="1"/>
    <x v="13"/>
    <x v="6"/>
    <x v="0"/>
    <x v="380"/>
    <x v="446"/>
    <x v="0"/>
    <x v="2"/>
  </r>
  <r>
    <x v="575"/>
    <x v="103"/>
    <x v="3"/>
    <x v="3"/>
    <x v="20"/>
    <x v="2"/>
    <x v="1"/>
    <x v="3"/>
    <x v="56"/>
    <x v="0"/>
    <x v="1"/>
  </r>
  <r>
    <x v="315"/>
    <x v="64"/>
    <x v="0"/>
    <x v="0"/>
    <x v="6"/>
    <x v="4"/>
    <x v="0"/>
    <x v="68"/>
    <x v="66"/>
    <x v="1"/>
    <x v="1"/>
  </r>
  <r>
    <x v="230"/>
    <x v="45"/>
    <x v="4"/>
    <x v="4"/>
    <x v="15"/>
    <x v="9"/>
    <x v="0"/>
    <x v="352"/>
    <x v="401"/>
    <x v="0"/>
    <x v="1"/>
  </r>
  <r>
    <x v="698"/>
    <x v="129"/>
    <x v="4"/>
    <x v="1"/>
    <x v="0"/>
    <x v="0"/>
    <x v="0"/>
    <x v="260"/>
    <x v="322"/>
    <x v="0"/>
    <x v="2"/>
  </r>
  <r>
    <x v="782"/>
    <x v="145"/>
    <x v="3"/>
    <x v="3"/>
    <x v="4"/>
    <x v="3"/>
    <x v="0"/>
    <x v="16"/>
    <x v="16"/>
    <x v="1"/>
    <x v="0"/>
  </r>
  <r>
    <x v="711"/>
    <x v="131"/>
    <x v="2"/>
    <x v="4"/>
    <x v="21"/>
    <x v="9"/>
    <x v="0"/>
    <x v="324"/>
    <x v="376"/>
    <x v="0"/>
    <x v="1"/>
  </r>
  <r>
    <x v="76"/>
    <x v="14"/>
    <x v="3"/>
    <x v="2"/>
    <x v="19"/>
    <x v="5"/>
    <x v="0"/>
    <x v="240"/>
    <x v="227"/>
    <x v="1"/>
    <x v="1"/>
  </r>
  <r>
    <x v="633"/>
    <x v="114"/>
    <x v="2"/>
    <x v="3"/>
    <x v="3"/>
    <x v="9"/>
    <x v="0"/>
    <x v="161"/>
    <x v="152"/>
    <x v="1"/>
    <x v="0"/>
  </r>
  <r>
    <x v="921"/>
    <x v="172"/>
    <x v="2"/>
    <x v="4"/>
    <x v="15"/>
    <x v="6"/>
    <x v="0"/>
    <x v="344"/>
    <x v="395"/>
    <x v="0"/>
    <x v="2"/>
  </r>
  <r>
    <x v="247"/>
    <x v="49"/>
    <x v="4"/>
    <x v="4"/>
    <x v="15"/>
    <x v="1"/>
    <x v="0"/>
    <x v="351"/>
    <x v="400"/>
    <x v="1"/>
    <x v="0"/>
  </r>
  <r>
    <x v="476"/>
    <x v="89"/>
    <x v="4"/>
    <x v="1"/>
    <x v="13"/>
    <x v="3"/>
    <x v="0"/>
    <x v="376"/>
    <x v="443"/>
    <x v="0"/>
    <x v="1"/>
  </r>
  <r>
    <x v="670"/>
    <x v="122"/>
    <x v="2"/>
    <x v="1"/>
    <x v="0"/>
    <x v="9"/>
    <x v="0"/>
    <x v="273"/>
    <x v="334"/>
    <x v="1"/>
    <x v="0"/>
  </r>
  <r>
    <x v="85"/>
    <x v="16"/>
    <x v="4"/>
    <x v="0"/>
    <x v="23"/>
    <x v="4"/>
    <x v="0"/>
    <x v="159"/>
    <x v="150"/>
    <x v="0"/>
    <x v="1"/>
  </r>
  <r>
    <x v="469"/>
    <x v="88"/>
    <x v="1"/>
    <x v="0"/>
    <x v="23"/>
    <x v="1"/>
    <x v="0"/>
    <x v="171"/>
    <x v="162"/>
    <x v="0"/>
    <x v="2"/>
  </r>
  <r>
    <x v="225"/>
    <x v="44"/>
    <x v="4"/>
    <x v="0"/>
    <x v="11"/>
    <x v="9"/>
    <x v="0"/>
    <x v="45"/>
    <x v="44"/>
    <x v="0"/>
    <x v="1"/>
  </r>
  <r>
    <x v="774"/>
    <x v="143"/>
    <x v="0"/>
    <x v="0"/>
    <x v="14"/>
    <x v="7"/>
    <x v="0"/>
    <x v="82"/>
    <x v="79"/>
    <x v="0"/>
    <x v="1"/>
  </r>
  <r>
    <x v="331"/>
    <x v="66"/>
    <x v="4"/>
    <x v="3"/>
    <x v="20"/>
    <x v="1"/>
    <x v="0"/>
    <x v="2"/>
    <x v="2"/>
    <x v="1"/>
    <x v="0"/>
  </r>
  <r>
    <x v="233"/>
    <x v="46"/>
    <x v="0"/>
    <x v="1"/>
    <x v="18"/>
    <x v="6"/>
    <x v="0"/>
    <x v="401"/>
    <x v="463"/>
    <x v="0"/>
    <x v="1"/>
  </r>
  <r>
    <x v="588"/>
    <x v="106"/>
    <x v="2"/>
    <x v="1"/>
    <x v="0"/>
    <x v="6"/>
    <x v="0"/>
    <x v="263"/>
    <x v="325"/>
    <x v="0"/>
    <x v="1"/>
  </r>
  <r>
    <x v="475"/>
    <x v="89"/>
    <x v="3"/>
    <x v="0"/>
    <x v="14"/>
    <x v="6"/>
    <x v="0"/>
    <x v="93"/>
    <x v="89"/>
    <x v="0"/>
    <x v="0"/>
  </r>
  <r>
    <x v="845"/>
    <x v="157"/>
    <x v="0"/>
    <x v="4"/>
    <x v="22"/>
    <x v="3"/>
    <x v="1"/>
    <x v="307"/>
    <x v="426"/>
    <x v="1"/>
    <x v="2"/>
  </r>
  <r>
    <x v="826"/>
    <x v="154"/>
    <x v="2"/>
    <x v="4"/>
    <x v="1"/>
    <x v="3"/>
    <x v="0"/>
    <x v="241"/>
    <x v="228"/>
    <x v="1"/>
    <x v="1"/>
  </r>
  <r>
    <x v="599"/>
    <x v="108"/>
    <x v="3"/>
    <x v="0"/>
    <x v="9"/>
    <x v="4"/>
    <x v="0"/>
    <x v="125"/>
    <x v="117"/>
    <x v="1"/>
    <x v="1"/>
  </r>
  <r>
    <x v="421"/>
    <x v="82"/>
    <x v="3"/>
    <x v="3"/>
    <x v="20"/>
    <x v="6"/>
    <x v="1"/>
    <x v="5"/>
    <x v="60"/>
    <x v="0"/>
    <x v="1"/>
  </r>
  <r>
    <x v="687"/>
    <x v="127"/>
    <x v="1"/>
    <x v="3"/>
    <x v="3"/>
    <x v="5"/>
    <x v="0"/>
    <x v="162"/>
    <x v="153"/>
    <x v="0"/>
    <x v="2"/>
  </r>
  <r>
    <x v="182"/>
    <x v="35"/>
    <x v="2"/>
    <x v="3"/>
    <x v="3"/>
    <x v="6"/>
    <x v="1"/>
    <x v="150"/>
    <x v="269"/>
    <x v="0"/>
    <x v="1"/>
  </r>
  <r>
    <x v="617"/>
    <x v="112"/>
    <x v="2"/>
    <x v="3"/>
    <x v="16"/>
    <x v="2"/>
    <x v="0"/>
    <x v="95"/>
    <x v="91"/>
    <x v="1"/>
    <x v="1"/>
  </r>
  <r>
    <x v="332"/>
    <x v="66"/>
    <x v="3"/>
    <x v="0"/>
    <x v="23"/>
    <x v="5"/>
    <x v="0"/>
    <x v="156"/>
    <x v="147"/>
    <x v="1"/>
    <x v="1"/>
  </r>
  <r>
    <x v="438"/>
    <x v="84"/>
    <x v="3"/>
    <x v="0"/>
    <x v="11"/>
    <x v="4"/>
    <x v="0"/>
    <x v="53"/>
    <x v="51"/>
    <x v="1"/>
    <x v="0"/>
  </r>
  <r>
    <x v="49"/>
    <x v="9"/>
    <x v="2"/>
    <x v="0"/>
    <x v="11"/>
    <x v="3"/>
    <x v="0"/>
    <x v="46"/>
    <x v="45"/>
    <x v="1"/>
    <x v="0"/>
  </r>
  <r>
    <x v="5"/>
    <x v="1"/>
    <x v="3"/>
    <x v="1"/>
    <x v="13"/>
    <x v="8"/>
    <x v="1"/>
    <x v="383"/>
    <x v="483"/>
    <x v="1"/>
    <x v="0"/>
  </r>
  <r>
    <x v="529"/>
    <x v="95"/>
    <x v="3"/>
    <x v="3"/>
    <x v="4"/>
    <x v="3"/>
    <x v="0"/>
    <x v="10"/>
    <x v="10"/>
    <x v="0"/>
    <x v="1"/>
  </r>
  <r>
    <x v="234"/>
    <x v="46"/>
    <x v="2"/>
    <x v="3"/>
    <x v="4"/>
    <x v="7"/>
    <x v="0"/>
    <x v="12"/>
    <x v="12"/>
    <x v="0"/>
    <x v="0"/>
  </r>
  <r>
    <x v="486"/>
    <x v="90"/>
    <x v="2"/>
    <x v="2"/>
    <x v="7"/>
    <x v="9"/>
    <x v="0"/>
    <x v="201"/>
    <x v="188"/>
    <x v="0"/>
    <x v="0"/>
  </r>
  <r>
    <x v="859"/>
    <x v="160"/>
    <x v="2"/>
    <x v="4"/>
    <x v="15"/>
    <x v="2"/>
    <x v="0"/>
    <x v="363"/>
    <x v="409"/>
    <x v="1"/>
    <x v="1"/>
  </r>
  <r>
    <x v="497"/>
    <x v="91"/>
    <x v="2"/>
    <x v="3"/>
    <x v="16"/>
    <x v="9"/>
    <x v="0"/>
    <x v="108"/>
    <x v="103"/>
    <x v="1"/>
    <x v="2"/>
  </r>
  <r>
    <x v="853"/>
    <x v="159"/>
    <x v="2"/>
    <x v="0"/>
    <x v="14"/>
    <x v="8"/>
    <x v="0"/>
    <x v="80"/>
    <x v="77"/>
    <x v="1"/>
    <x v="1"/>
  </r>
  <r>
    <x v="106"/>
    <x v="19"/>
    <x v="2"/>
    <x v="0"/>
    <x v="23"/>
    <x v="4"/>
    <x v="2"/>
    <x v="159"/>
    <x v="318"/>
    <x v="0"/>
    <x v="0"/>
  </r>
  <r>
    <x v="443"/>
    <x v="85"/>
    <x v="4"/>
    <x v="3"/>
    <x v="5"/>
    <x v="5"/>
    <x v="1"/>
    <x v="31"/>
    <x v="148"/>
    <x v="0"/>
    <x v="1"/>
  </r>
  <r>
    <x v="488"/>
    <x v="90"/>
    <x v="3"/>
    <x v="2"/>
    <x v="17"/>
    <x v="5"/>
    <x v="1"/>
    <x v="28"/>
    <x v="142"/>
    <x v="0"/>
    <x v="2"/>
  </r>
  <r>
    <x v="646"/>
    <x v="118"/>
    <x v="4"/>
    <x v="3"/>
    <x v="4"/>
    <x v="6"/>
    <x v="2"/>
    <x v="13"/>
    <x v="177"/>
    <x v="1"/>
    <x v="1"/>
  </r>
  <r>
    <x v="12"/>
    <x v="2"/>
    <x v="0"/>
    <x v="1"/>
    <x v="13"/>
    <x v="8"/>
    <x v="2"/>
    <x v="373"/>
    <x v="512"/>
    <x v="0"/>
    <x v="1"/>
  </r>
  <r>
    <x v="738"/>
    <x v="137"/>
    <x v="1"/>
    <x v="3"/>
    <x v="4"/>
    <x v="4"/>
    <x v="0"/>
    <x v="11"/>
    <x v="11"/>
    <x v="1"/>
    <x v="0"/>
  </r>
  <r>
    <x v="726"/>
    <x v="135"/>
    <x v="4"/>
    <x v="0"/>
    <x v="9"/>
    <x v="6"/>
    <x v="0"/>
    <x v="121"/>
    <x v="113"/>
    <x v="0"/>
    <x v="1"/>
  </r>
  <r>
    <x v="190"/>
    <x v="37"/>
    <x v="0"/>
    <x v="3"/>
    <x v="3"/>
    <x v="9"/>
    <x v="0"/>
    <x v="165"/>
    <x v="156"/>
    <x v="0"/>
    <x v="1"/>
  </r>
  <r>
    <x v="898"/>
    <x v="168"/>
    <x v="3"/>
    <x v="1"/>
    <x v="2"/>
    <x v="1"/>
    <x v="0"/>
    <x v="187"/>
    <x v="175"/>
    <x v="0"/>
    <x v="0"/>
  </r>
  <r>
    <x v="282"/>
    <x v="56"/>
    <x v="2"/>
    <x v="4"/>
    <x v="21"/>
    <x v="6"/>
    <x v="0"/>
    <x v="322"/>
    <x v="374"/>
    <x v="1"/>
    <x v="1"/>
  </r>
  <r>
    <x v="29"/>
    <x v="5"/>
    <x v="2"/>
    <x v="3"/>
    <x v="20"/>
    <x v="1"/>
    <x v="0"/>
    <x v="6"/>
    <x v="6"/>
    <x v="0"/>
    <x v="1"/>
  </r>
  <r>
    <x v="169"/>
    <x v="33"/>
    <x v="3"/>
    <x v="3"/>
    <x v="20"/>
    <x v="1"/>
    <x v="0"/>
    <x v="3"/>
    <x v="3"/>
    <x v="1"/>
    <x v="0"/>
  </r>
  <r>
    <x v="180"/>
    <x v="35"/>
    <x v="2"/>
    <x v="3"/>
    <x v="4"/>
    <x v="0"/>
    <x v="1"/>
    <x v="18"/>
    <x v="105"/>
    <x v="1"/>
    <x v="1"/>
  </r>
  <r>
    <x v="100"/>
    <x v="18"/>
    <x v="1"/>
    <x v="0"/>
    <x v="6"/>
    <x v="5"/>
    <x v="0"/>
    <x v="82"/>
    <x v="79"/>
    <x v="1"/>
    <x v="1"/>
  </r>
  <r>
    <x v="197"/>
    <x v="38"/>
    <x v="3"/>
    <x v="1"/>
    <x v="18"/>
    <x v="6"/>
    <x v="1"/>
    <x v="418"/>
    <x v="510"/>
    <x v="1"/>
    <x v="1"/>
  </r>
  <r>
    <x v="495"/>
    <x v="91"/>
    <x v="0"/>
    <x v="2"/>
    <x v="19"/>
    <x v="3"/>
    <x v="0"/>
    <x v="228"/>
    <x v="213"/>
    <x v="0"/>
    <x v="2"/>
  </r>
  <r>
    <x v="721"/>
    <x v="134"/>
    <x v="4"/>
    <x v="2"/>
    <x v="7"/>
    <x v="2"/>
    <x v="0"/>
    <x v="212"/>
    <x v="198"/>
    <x v="0"/>
    <x v="1"/>
  </r>
  <r>
    <x v="647"/>
    <x v="118"/>
    <x v="2"/>
    <x v="2"/>
    <x v="19"/>
    <x v="7"/>
    <x v="0"/>
    <x v="222"/>
    <x v="207"/>
    <x v="1"/>
    <x v="2"/>
  </r>
  <r>
    <x v="926"/>
    <x v="174"/>
    <x v="3"/>
    <x v="1"/>
    <x v="8"/>
    <x v="8"/>
    <x v="1"/>
    <x v="136"/>
    <x v="264"/>
    <x v="1"/>
    <x v="1"/>
  </r>
  <r>
    <x v="885"/>
    <x v="165"/>
    <x v="2"/>
    <x v="1"/>
    <x v="12"/>
    <x v="1"/>
    <x v="0"/>
    <x v="426"/>
    <x v="488"/>
    <x v="0"/>
    <x v="2"/>
  </r>
  <r>
    <x v="710"/>
    <x v="131"/>
    <x v="2"/>
    <x v="1"/>
    <x v="8"/>
    <x v="0"/>
    <x v="0"/>
    <x v="146"/>
    <x v="136"/>
    <x v="0"/>
    <x v="0"/>
  </r>
  <r>
    <x v="373"/>
    <x v="75"/>
    <x v="2"/>
    <x v="4"/>
    <x v="22"/>
    <x v="5"/>
    <x v="1"/>
    <x v="304"/>
    <x v="424"/>
    <x v="1"/>
    <x v="1"/>
  </r>
  <r>
    <x v="678"/>
    <x v="125"/>
    <x v="2"/>
    <x v="3"/>
    <x v="5"/>
    <x v="4"/>
    <x v="0"/>
    <x v="30"/>
    <x v="29"/>
    <x v="0"/>
    <x v="2"/>
  </r>
  <r>
    <x v="840"/>
    <x v="156"/>
    <x v="4"/>
    <x v="1"/>
    <x v="0"/>
    <x v="4"/>
    <x v="0"/>
    <x v="261"/>
    <x v="323"/>
    <x v="0"/>
    <x v="1"/>
  </r>
  <r>
    <x v="648"/>
    <x v="118"/>
    <x v="2"/>
    <x v="1"/>
    <x v="18"/>
    <x v="2"/>
    <x v="1"/>
    <x v="403"/>
    <x v="502"/>
    <x v="0"/>
    <x v="1"/>
  </r>
  <r>
    <x v="797"/>
    <x v="148"/>
    <x v="0"/>
    <x v="1"/>
    <x v="18"/>
    <x v="8"/>
    <x v="1"/>
    <x v="417"/>
    <x v="509"/>
    <x v="0"/>
    <x v="1"/>
  </r>
  <r>
    <x v="460"/>
    <x v="87"/>
    <x v="0"/>
    <x v="2"/>
    <x v="17"/>
    <x v="3"/>
    <x v="0"/>
    <x v="24"/>
    <x v="23"/>
    <x v="1"/>
    <x v="0"/>
  </r>
  <r>
    <x v="413"/>
    <x v="81"/>
    <x v="0"/>
    <x v="4"/>
    <x v="21"/>
    <x v="4"/>
    <x v="0"/>
    <x v="333"/>
    <x v="385"/>
    <x v="1"/>
    <x v="1"/>
  </r>
  <r>
    <x v="131"/>
    <x v="24"/>
    <x v="3"/>
    <x v="0"/>
    <x v="11"/>
    <x v="1"/>
    <x v="0"/>
    <x v="49"/>
    <x v="47"/>
    <x v="1"/>
    <x v="2"/>
  </r>
  <r>
    <x v="39"/>
    <x v="8"/>
    <x v="2"/>
    <x v="3"/>
    <x v="16"/>
    <x v="8"/>
    <x v="0"/>
    <x v="99"/>
    <x v="95"/>
    <x v="1"/>
    <x v="1"/>
  </r>
  <r>
    <x v="434"/>
    <x v="84"/>
    <x v="2"/>
    <x v="3"/>
    <x v="16"/>
    <x v="5"/>
    <x v="0"/>
    <x v="108"/>
    <x v="103"/>
    <x v="1"/>
    <x v="1"/>
  </r>
  <r>
    <x v="215"/>
    <x v="42"/>
    <x v="2"/>
    <x v="3"/>
    <x v="20"/>
    <x v="7"/>
    <x v="1"/>
    <x v="5"/>
    <x v="60"/>
    <x v="0"/>
    <x v="1"/>
  </r>
  <r>
    <x v="555"/>
    <x v="99"/>
    <x v="1"/>
    <x v="0"/>
    <x v="11"/>
    <x v="5"/>
    <x v="0"/>
    <x v="44"/>
    <x v="43"/>
    <x v="0"/>
    <x v="2"/>
  </r>
  <r>
    <x v="566"/>
    <x v="101"/>
    <x v="2"/>
    <x v="3"/>
    <x v="3"/>
    <x v="4"/>
    <x v="1"/>
    <x v="148"/>
    <x v="268"/>
    <x v="1"/>
    <x v="0"/>
  </r>
  <r>
    <x v="762"/>
    <x v="141"/>
    <x v="1"/>
    <x v="2"/>
    <x v="7"/>
    <x v="3"/>
    <x v="0"/>
    <x v="197"/>
    <x v="184"/>
    <x v="1"/>
    <x v="2"/>
  </r>
  <r>
    <x v="474"/>
    <x v="88"/>
    <x v="2"/>
    <x v="0"/>
    <x v="11"/>
    <x v="0"/>
    <x v="0"/>
    <x v="52"/>
    <x v="50"/>
    <x v="1"/>
    <x v="0"/>
  </r>
  <r>
    <x v="456"/>
    <x v="86"/>
    <x v="4"/>
    <x v="0"/>
    <x v="11"/>
    <x v="3"/>
    <x v="0"/>
    <x v="43"/>
    <x v="42"/>
    <x v="0"/>
    <x v="0"/>
  </r>
  <r>
    <x v="811"/>
    <x v="150"/>
    <x v="1"/>
    <x v="2"/>
    <x v="10"/>
    <x v="0"/>
    <x v="0"/>
    <x v="60"/>
    <x v="58"/>
    <x v="1"/>
    <x v="2"/>
  </r>
  <r>
    <x v="260"/>
    <x v="52"/>
    <x v="2"/>
    <x v="4"/>
    <x v="1"/>
    <x v="2"/>
    <x v="0"/>
    <x v="255"/>
    <x v="242"/>
    <x v="0"/>
    <x v="1"/>
  </r>
  <r>
    <x v="816"/>
    <x v="151"/>
    <x v="3"/>
    <x v="2"/>
    <x v="7"/>
    <x v="1"/>
    <x v="0"/>
    <x v="216"/>
    <x v="201"/>
    <x v="1"/>
    <x v="2"/>
  </r>
  <r>
    <x v="35"/>
    <x v="7"/>
    <x v="2"/>
    <x v="4"/>
    <x v="15"/>
    <x v="1"/>
    <x v="1"/>
    <x v="361"/>
    <x v="439"/>
    <x v="1"/>
    <x v="2"/>
  </r>
  <r>
    <x v="827"/>
    <x v="154"/>
    <x v="3"/>
    <x v="3"/>
    <x v="16"/>
    <x v="1"/>
    <x v="0"/>
    <x v="108"/>
    <x v="103"/>
    <x v="1"/>
    <x v="2"/>
  </r>
  <r>
    <x v="309"/>
    <x v="62"/>
    <x v="4"/>
    <x v="2"/>
    <x v="17"/>
    <x v="7"/>
    <x v="0"/>
    <x v="27"/>
    <x v="26"/>
    <x v="1"/>
    <x v="1"/>
  </r>
  <r>
    <x v="276"/>
    <x v="55"/>
    <x v="3"/>
    <x v="1"/>
    <x v="18"/>
    <x v="1"/>
    <x v="0"/>
    <x v="398"/>
    <x v="461"/>
    <x v="1"/>
    <x v="1"/>
  </r>
  <r>
    <x v="636"/>
    <x v="115"/>
    <x v="2"/>
    <x v="4"/>
    <x v="1"/>
    <x v="2"/>
    <x v="0"/>
    <x v="245"/>
    <x v="233"/>
    <x v="1"/>
    <x v="0"/>
  </r>
  <r>
    <x v="654"/>
    <x v="119"/>
    <x v="0"/>
    <x v="2"/>
    <x v="19"/>
    <x v="1"/>
    <x v="1"/>
    <x v="231"/>
    <x v="311"/>
    <x v="1"/>
    <x v="0"/>
  </r>
  <r>
    <x v="622"/>
    <x v="113"/>
    <x v="2"/>
    <x v="0"/>
    <x v="9"/>
    <x v="8"/>
    <x v="1"/>
    <x v="122"/>
    <x v="256"/>
    <x v="1"/>
    <x v="0"/>
  </r>
  <r>
    <x v="835"/>
    <x v="155"/>
    <x v="3"/>
    <x v="0"/>
    <x v="14"/>
    <x v="4"/>
    <x v="0"/>
    <x v="86"/>
    <x v="82"/>
    <x v="1"/>
    <x v="1"/>
  </r>
  <r>
    <x v="844"/>
    <x v="157"/>
    <x v="3"/>
    <x v="1"/>
    <x v="8"/>
    <x v="9"/>
    <x v="3"/>
    <x v="137"/>
    <x v="320"/>
    <x v="1"/>
    <x v="0"/>
  </r>
  <r>
    <x v="393"/>
    <x v="79"/>
    <x v="2"/>
    <x v="2"/>
    <x v="17"/>
    <x v="9"/>
    <x v="0"/>
    <x v="28"/>
    <x v="27"/>
    <x v="1"/>
    <x v="1"/>
  </r>
  <r>
    <x v="894"/>
    <x v="167"/>
    <x v="3"/>
    <x v="3"/>
    <x v="20"/>
    <x v="0"/>
    <x v="1"/>
    <x v="6"/>
    <x v="61"/>
    <x v="0"/>
    <x v="1"/>
  </r>
  <r>
    <x v="107"/>
    <x v="19"/>
    <x v="3"/>
    <x v="0"/>
    <x v="6"/>
    <x v="8"/>
    <x v="1"/>
    <x v="72"/>
    <x v="210"/>
    <x v="1"/>
    <x v="1"/>
  </r>
  <r>
    <x v="900"/>
    <x v="169"/>
    <x v="3"/>
    <x v="3"/>
    <x v="3"/>
    <x v="1"/>
    <x v="0"/>
    <x v="159"/>
    <x v="150"/>
    <x v="1"/>
    <x v="2"/>
  </r>
  <r>
    <x v="524"/>
    <x v="94"/>
    <x v="1"/>
    <x v="0"/>
    <x v="6"/>
    <x v="1"/>
    <x v="1"/>
    <x v="82"/>
    <x v="227"/>
    <x v="0"/>
    <x v="2"/>
  </r>
  <r>
    <x v="784"/>
    <x v="145"/>
    <x v="4"/>
    <x v="1"/>
    <x v="13"/>
    <x v="3"/>
    <x v="1"/>
    <x v="370"/>
    <x v="477"/>
    <x v="0"/>
    <x v="2"/>
  </r>
  <r>
    <x v="47"/>
    <x v="9"/>
    <x v="4"/>
    <x v="4"/>
    <x v="15"/>
    <x v="2"/>
    <x v="0"/>
    <x v="358"/>
    <x v="405"/>
    <x v="1"/>
    <x v="1"/>
  </r>
  <r>
    <x v="203"/>
    <x v="40"/>
    <x v="1"/>
    <x v="2"/>
    <x v="19"/>
    <x v="7"/>
    <x v="1"/>
    <x v="237"/>
    <x v="312"/>
    <x v="1"/>
    <x v="1"/>
  </r>
  <r>
    <x v="882"/>
    <x v="165"/>
    <x v="4"/>
    <x v="3"/>
    <x v="20"/>
    <x v="9"/>
    <x v="0"/>
    <x v="3"/>
    <x v="3"/>
    <x v="0"/>
    <x v="2"/>
  </r>
  <r>
    <x v="631"/>
    <x v="114"/>
    <x v="2"/>
    <x v="3"/>
    <x v="4"/>
    <x v="8"/>
    <x v="1"/>
    <x v="10"/>
    <x v="91"/>
    <x v="0"/>
    <x v="0"/>
  </r>
  <r>
    <x v="21"/>
    <x v="3"/>
    <x v="2"/>
    <x v="4"/>
    <x v="1"/>
    <x v="7"/>
    <x v="0"/>
    <x v="252"/>
    <x v="239"/>
    <x v="0"/>
    <x v="1"/>
  </r>
  <r>
    <x v="402"/>
    <x v="80"/>
    <x v="3"/>
    <x v="1"/>
    <x v="0"/>
    <x v="3"/>
    <x v="0"/>
    <x v="277"/>
    <x v="337"/>
    <x v="1"/>
    <x v="0"/>
  </r>
  <r>
    <x v="83"/>
    <x v="16"/>
    <x v="0"/>
    <x v="2"/>
    <x v="19"/>
    <x v="6"/>
    <x v="1"/>
    <x v="230"/>
    <x v="310"/>
    <x v="0"/>
    <x v="1"/>
  </r>
  <r>
    <x v="130"/>
    <x v="24"/>
    <x v="3"/>
    <x v="4"/>
    <x v="21"/>
    <x v="9"/>
    <x v="0"/>
    <x v="317"/>
    <x v="370"/>
    <x v="1"/>
    <x v="0"/>
  </r>
  <r>
    <x v="415"/>
    <x v="81"/>
    <x v="2"/>
    <x v="1"/>
    <x v="8"/>
    <x v="1"/>
    <x v="0"/>
    <x v="132"/>
    <x v="123"/>
    <x v="0"/>
    <x v="1"/>
  </r>
  <r>
    <x v="841"/>
    <x v="156"/>
    <x v="2"/>
    <x v="0"/>
    <x v="11"/>
    <x v="8"/>
    <x v="0"/>
    <x v="53"/>
    <x v="51"/>
    <x v="0"/>
    <x v="2"/>
  </r>
  <r>
    <x v="741"/>
    <x v="137"/>
    <x v="0"/>
    <x v="2"/>
    <x v="19"/>
    <x v="2"/>
    <x v="0"/>
    <x v="220"/>
    <x v="205"/>
    <x v="1"/>
    <x v="0"/>
  </r>
  <r>
    <x v="697"/>
    <x v="129"/>
    <x v="2"/>
    <x v="1"/>
    <x v="12"/>
    <x v="0"/>
    <x v="0"/>
    <x v="430"/>
    <x v="492"/>
    <x v="0"/>
    <x v="1"/>
  </r>
  <r>
    <x v="286"/>
    <x v="57"/>
    <x v="2"/>
    <x v="2"/>
    <x v="10"/>
    <x v="3"/>
    <x v="0"/>
    <x v="57"/>
    <x v="55"/>
    <x v="0"/>
    <x v="1"/>
  </r>
  <r>
    <x v="123"/>
    <x v="22"/>
    <x v="4"/>
    <x v="3"/>
    <x v="20"/>
    <x v="5"/>
    <x v="0"/>
    <x v="8"/>
    <x v="8"/>
    <x v="1"/>
    <x v="1"/>
  </r>
  <r>
    <x v="33"/>
    <x v="6"/>
    <x v="0"/>
    <x v="0"/>
    <x v="23"/>
    <x v="2"/>
    <x v="0"/>
    <x v="162"/>
    <x v="153"/>
    <x v="1"/>
    <x v="1"/>
  </r>
  <r>
    <x v="928"/>
    <x v="174"/>
    <x v="4"/>
    <x v="2"/>
    <x v="7"/>
    <x v="4"/>
    <x v="0"/>
    <x v="212"/>
    <x v="198"/>
    <x v="1"/>
    <x v="1"/>
  </r>
  <r>
    <x v="516"/>
    <x v="93"/>
    <x v="3"/>
    <x v="2"/>
    <x v="7"/>
    <x v="8"/>
    <x v="0"/>
    <x v="207"/>
    <x v="194"/>
    <x v="1"/>
    <x v="2"/>
  </r>
  <r>
    <x v="19"/>
    <x v="3"/>
    <x v="2"/>
    <x v="4"/>
    <x v="15"/>
    <x v="4"/>
    <x v="0"/>
    <x v="353"/>
    <x v="402"/>
    <x v="1"/>
    <x v="1"/>
  </r>
  <r>
    <x v="883"/>
    <x v="165"/>
    <x v="3"/>
    <x v="3"/>
    <x v="20"/>
    <x v="7"/>
    <x v="1"/>
    <x v="4"/>
    <x v="58"/>
    <x v="1"/>
    <x v="2"/>
  </r>
  <r>
    <x v="219"/>
    <x v="43"/>
    <x v="4"/>
    <x v="3"/>
    <x v="4"/>
    <x v="0"/>
    <x v="0"/>
    <x v="10"/>
    <x v="10"/>
    <x v="0"/>
    <x v="1"/>
  </r>
  <r>
    <x v="952"/>
    <x v="180"/>
    <x v="4"/>
    <x v="3"/>
    <x v="16"/>
    <x v="0"/>
    <x v="0"/>
    <x v="112"/>
    <x v="106"/>
    <x v="0"/>
    <x v="1"/>
  </r>
  <r>
    <x v="481"/>
    <x v="89"/>
    <x v="2"/>
    <x v="3"/>
    <x v="20"/>
    <x v="1"/>
    <x v="0"/>
    <x v="4"/>
    <x v="4"/>
    <x v="0"/>
    <x v="0"/>
  </r>
  <r>
    <x v="356"/>
    <x v="71"/>
    <x v="0"/>
    <x v="1"/>
    <x v="12"/>
    <x v="0"/>
    <x v="3"/>
    <x v="432"/>
    <x v="521"/>
    <x v="1"/>
    <x v="0"/>
  </r>
  <r>
    <x v="661"/>
    <x v="120"/>
    <x v="0"/>
    <x v="3"/>
    <x v="5"/>
    <x v="1"/>
    <x v="0"/>
    <x v="42"/>
    <x v="41"/>
    <x v="0"/>
    <x v="2"/>
  </r>
  <r>
    <x v="224"/>
    <x v="44"/>
    <x v="4"/>
    <x v="1"/>
    <x v="8"/>
    <x v="5"/>
    <x v="0"/>
    <x v="141"/>
    <x v="132"/>
    <x v="1"/>
    <x v="2"/>
  </r>
  <r>
    <x v="759"/>
    <x v="141"/>
    <x v="2"/>
    <x v="3"/>
    <x v="20"/>
    <x v="1"/>
    <x v="3"/>
    <x v="4"/>
    <x v="192"/>
    <x v="0"/>
    <x v="1"/>
  </r>
  <r>
    <x v="92"/>
    <x v="17"/>
    <x v="2"/>
    <x v="1"/>
    <x v="2"/>
    <x v="3"/>
    <x v="1"/>
    <x v="190"/>
    <x v="293"/>
    <x v="1"/>
    <x v="1"/>
  </r>
  <r>
    <x v="151"/>
    <x v="28"/>
    <x v="4"/>
    <x v="3"/>
    <x v="5"/>
    <x v="7"/>
    <x v="0"/>
    <x v="31"/>
    <x v="30"/>
    <x v="1"/>
    <x v="0"/>
  </r>
  <r>
    <x v="934"/>
    <x v="175"/>
    <x v="4"/>
    <x v="3"/>
    <x v="3"/>
    <x v="1"/>
    <x v="1"/>
    <x v="154"/>
    <x v="270"/>
    <x v="1"/>
    <x v="1"/>
  </r>
  <r>
    <x v="317"/>
    <x v="64"/>
    <x v="3"/>
    <x v="3"/>
    <x v="16"/>
    <x v="7"/>
    <x v="0"/>
    <x v="96"/>
    <x v="92"/>
    <x v="1"/>
    <x v="1"/>
  </r>
  <r>
    <x v="448"/>
    <x v="86"/>
    <x v="3"/>
    <x v="1"/>
    <x v="12"/>
    <x v="3"/>
    <x v="1"/>
    <x v="423"/>
    <x v="517"/>
    <x v="1"/>
    <x v="2"/>
  </r>
  <r>
    <x v="803"/>
    <x v="149"/>
    <x v="0"/>
    <x v="3"/>
    <x v="16"/>
    <x v="6"/>
    <x v="0"/>
    <x v="108"/>
    <x v="103"/>
    <x v="0"/>
    <x v="1"/>
  </r>
  <r>
    <x v="745"/>
    <x v="138"/>
    <x v="0"/>
    <x v="0"/>
    <x v="23"/>
    <x v="6"/>
    <x v="0"/>
    <x v="157"/>
    <x v="148"/>
    <x v="1"/>
    <x v="1"/>
  </r>
  <r>
    <x v="522"/>
    <x v="94"/>
    <x v="3"/>
    <x v="4"/>
    <x v="21"/>
    <x v="7"/>
    <x v="0"/>
    <x v="339"/>
    <x v="392"/>
    <x v="0"/>
    <x v="1"/>
  </r>
  <r>
    <x v="279"/>
    <x v="56"/>
    <x v="2"/>
    <x v="3"/>
    <x v="3"/>
    <x v="8"/>
    <x v="0"/>
    <x v="164"/>
    <x v="155"/>
    <x v="1"/>
    <x v="2"/>
  </r>
  <r>
    <x v="583"/>
    <x v="106"/>
    <x v="4"/>
    <x v="0"/>
    <x v="14"/>
    <x v="0"/>
    <x v="3"/>
    <x v="91"/>
    <x v="316"/>
    <x v="0"/>
    <x v="1"/>
  </r>
  <r>
    <x v="764"/>
    <x v="142"/>
    <x v="1"/>
    <x v="3"/>
    <x v="5"/>
    <x v="2"/>
    <x v="1"/>
    <x v="40"/>
    <x v="163"/>
    <x v="1"/>
    <x v="2"/>
  </r>
  <r>
    <x v="604"/>
    <x v="109"/>
    <x v="0"/>
    <x v="0"/>
    <x v="11"/>
    <x v="9"/>
    <x v="0"/>
    <x v="57"/>
    <x v="55"/>
    <x v="0"/>
    <x v="2"/>
  </r>
  <r>
    <x v="349"/>
    <x v="70"/>
    <x v="2"/>
    <x v="2"/>
    <x v="19"/>
    <x v="3"/>
    <x v="0"/>
    <x v="231"/>
    <x v="217"/>
    <x v="1"/>
    <x v="0"/>
  </r>
  <r>
    <x v="374"/>
    <x v="75"/>
    <x v="3"/>
    <x v="1"/>
    <x v="8"/>
    <x v="4"/>
    <x v="0"/>
    <x v="139"/>
    <x v="130"/>
    <x v="0"/>
    <x v="0"/>
  </r>
  <r>
    <x v="400"/>
    <x v="80"/>
    <x v="2"/>
    <x v="0"/>
    <x v="9"/>
    <x v="8"/>
    <x v="0"/>
    <x v="117"/>
    <x v="110"/>
    <x v="1"/>
    <x v="1"/>
  </r>
  <r>
    <x v="704"/>
    <x v="130"/>
    <x v="2"/>
    <x v="2"/>
    <x v="10"/>
    <x v="7"/>
    <x v="0"/>
    <x v="58"/>
    <x v="56"/>
    <x v="0"/>
    <x v="0"/>
  </r>
  <r>
    <x v="257"/>
    <x v="51"/>
    <x v="2"/>
    <x v="3"/>
    <x v="20"/>
    <x v="1"/>
    <x v="1"/>
    <x v="4"/>
    <x v="58"/>
    <x v="1"/>
    <x v="0"/>
  </r>
  <r>
    <x v="851"/>
    <x v="159"/>
    <x v="0"/>
    <x v="4"/>
    <x v="21"/>
    <x v="7"/>
    <x v="2"/>
    <x v="319"/>
    <x v="459"/>
    <x v="0"/>
    <x v="2"/>
  </r>
  <r>
    <x v="72"/>
    <x v="14"/>
    <x v="2"/>
    <x v="1"/>
    <x v="2"/>
    <x v="5"/>
    <x v="0"/>
    <x v="183"/>
    <x v="172"/>
    <x v="1"/>
    <x v="0"/>
  </r>
  <r>
    <x v="195"/>
    <x v="38"/>
    <x v="0"/>
    <x v="3"/>
    <x v="16"/>
    <x v="4"/>
    <x v="0"/>
    <x v="95"/>
    <x v="91"/>
    <x v="0"/>
    <x v="0"/>
  </r>
  <r>
    <x v="483"/>
    <x v="89"/>
    <x v="1"/>
    <x v="3"/>
    <x v="3"/>
    <x v="2"/>
    <x v="0"/>
    <x v="154"/>
    <x v="145"/>
    <x v="0"/>
    <x v="0"/>
  </r>
  <r>
    <x v="855"/>
    <x v="159"/>
    <x v="3"/>
    <x v="1"/>
    <x v="2"/>
    <x v="0"/>
    <x v="1"/>
    <x v="183"/>
    <x v="290"/>
    <x v="1"/>
    <x v="0"/>
  </r>
  <r>
    <x v="137"/>
    <x v="26"/>
    <x v="2"/>
    <x v="3"/>
    <x v="20"/>
    <x v="2"/>
    <x v="0"/>
    <x v="0"/>
    <x v="0"/>
    <x v="1"/>
    <x v="0"/>
  </r>
  <r>
    <x v="494"/>
    <x v="91"/>
    <x v="2"/>
    <x v="0"/>
    <x v="14"/>
    <x v="1"/>
    <x v="0"/>
    <x v="89"/>
    <x v="85"/>
    <x v="1"/>
    <x v="1"/>
  </r>
  <r>
    <x v="772"/>
    <x v="143"/>
    <x v="4"/>
    <x v="0"/>
    <x v="9"/>
    <x v="3"/>
    <x v="0"/>
    <x v="114"/>
    <x v="108"/>
    <x v="1"/>
    <x v="1"/>
  </r>
  <r>
    <x v="550"/>
    <x v="98"/>
    <x v="2"/>
    <x v="1"/>
    <x v="13"/>
    <x v="4"/>
    <x v="0"/>
    <x v="386"/>
    <x v="449"/>
    <x v="1"/>
    <x v="2"/>
  </r>
  <r>
    <x v="462"/>
    <x v="87"/>
    <x v="3"/>
    <x v="2"/>
    <x v="19"/>
    <x v="8"/>
    <x v="0"/>
    <x v="228"/>
    <x v="213"/>
    <x v="0"/>
    <x v="2"/>
  </r>
  <r>
    <x v="201"/>
    <x v="39"/>
    <x v="3"/>
    <x v="1"/>
    <x v="8"/>
    <x v="0"/>
    <x v="0"/>
    <x v="135"/>
    <x v="126"/>
    <x v="1"/>
    <x v="1"/>
  </r>
  <r>
    <x v="312"/>
    <x v="63"/>
    <x v="3"/>
    <x v="2"/>
    <x v="17"/>
    <x v="4"/>
    <x v="0"/>
    <x v="22"/>
    <x v="21"/>
    <x v="1"/>
    <x v="1"/>
  </r>
  <r>
    <x v="290"/>
    <x v="58"/>
    <x v="1"/>
    <x v="3"/>
    <x v="4"/>
    <x v="8"/>
    <x v="0"/>
    <x v="10"/>
    <x v="10"/>
    <x v="0"/>
    <x v="1"/>
  </r>
  <r>
    <x v="189"/>
    <x v="36"/>
    <x v="3"/>
    <x v="4"/>
    <x v="15"/>
    <x v="1"/>
    <x v="1"/>
    <x v="354"/>
    <x v="436"/>
    <x v="1"/>
    <x v="2"/>
  </r>
  <r>
    <x v="763"/>
    <x v="142"/>
    <x v="2"/>
    <x v="4"/>
    <x v="1"/>
    <x v="0"/>
    <x v="0"/>
    <x v="247"/>
    <x v="235"/>
    <x v="0"/>
    <x v="1"/>
  </r>
  <r>
    <x v="112"/>
    <x v="20"/>
    <x v="2"/>
    <x v="3"/>
    <x v="5"/>
    <x v="1"/>
    <x v="0"/>
    <x v="39"/>
    <x v="38"/>
    <x v="1"/>
    <x v="0"/>
  </r>
  <r>
    <x v="183"/>
    <x v="36"/>
    <x v="2"/>
    <x v="3"/>
    <x v="4"/>
    <x v="1"/>
    <x v="0"/>
    <x v="19"/>
    <x v="19"/>
    <x v="1"/>
    <x v="0"/>
  </r>
  <r>
    <x v="152"/>
    <x v="29"/>
    <x v="2"/>
    <x v="3"/>
    <x v="20"/>
    <x v="8"/>
    <x v="0"/>
    <x v="5"/>
    <x v="5"/>
    <x v="0"/>
    <x v="1"/>
  </r>
  <r>
    <x v="824"/>
    <x v="153"/>
    <x v="2"/>
    <x v="0"/>
    <x v="14"/>
    <x v="9"/>
    <x v="0"/>
    <x v="87"/>
    <x v="83"/>
    <x v="1"/>
    <x v="0"/>
  </r>
  <r>
    <x v="325"/>
    <x v="65"/>
    <x v="4"/>
    <x v="4"/>
    <x v="1"/>
    <x v="0"/>
    <x v="0"/>
    <x v="244"/>
    <x v="232"/>
    <x v="1"/>
    <x v="0"/>
  </r>
  <r>
    <x v="703"/>
    <x v="130"/>
    <x v="3"/>
    <x v="2"/>
    <x v="19"/>
    <x v="3"/>
    <x v="0"/>
    <x v="224"/>
    <x v="209"/>
    <x v="0"/>
    <x v="1"/>
  </r>
  <r>
    <x v="44"/>
    <x v="8"/>
    <x v="4"/>
    <x v="2"/>
    <x v="19"/>
    <x v="0"/>
    <x v="0"/>
    <x v="235"/>
    <x v="222"/>
    <x v="1"/>
    <x v="1"/>
  </r>
  <r>
    <x v="444"/>
    <x v="85"/>
    <x v="0"/>
    <x v="4"/>
    <x v="22"/>
    <x v="8"/>
    <x v="0"/>
    <x v="304"/>
    <x v="360"/>
    <x v="1"/>
    <x v="2"/>
  </r>
  <r>
    <x v="787"/>
    <x v="146"/>
    <x v="0"/>
    <x v="0"/>
    <x v="9"/>
    <x v="1"/>
    <x v="0"/>
    <x v="129"/>
    <x v="121"/>
    <x v="0"/>
    <x v="2"/>
  </r>
  <r>
    <x v="6"/>
    <x v="1"/>
    <x v="0"/>
    <x v="3"/>
    <x v="4"/>
    <x v="1"/>
    <x v="3"/>
    <x v="9"/>
    <x v="241"/>
    <x v="0"/>
    <x v="2"/>
  </r>
  <r>
    <x v="250"/>
    <x v="50"/>
    <x v="1"/>
    <x v="4"/>
    <x v="15"/>
    <x v="9"/>
    <x v="1"/>
    <x v="356"/>
    <x v="437"/>
    <x v="0"/>
    <x v="2"/>
  </r>
  <r>
    <x v="823"/>
    <x v="153"/>
    <x v="2"/>
    <x v="0"/>
    <x v="23"/>
    <x v="8"/>
    <x v="0"/>
    <x v="162"/>
    <x v="153"/>
    <x v="1"/>
    <x v="1"/>
  </r>
  <r>
    <x v="75"/>
    <x v="14"/>
    <x v="0"/>
    <x v="3"/>
    <x v="3"/>
    <x v="7"/>
    <x v="0"/>
    <x v="163"/>
    <x v="154"/>
    <x v="1"/>
    <x v="0"/>
  </r>
  <r>
    <x v="512"/>
    <x v="93"/>
    <x v="3"/>
    <x v="3"/>
    <x v="3"/>
    <x v="7"/>
    <x v="0"/>
    <x v="154"/>
    <x v="145"/>
    <x v="0"/>
    <x v="1"/>
  </r>
  <r>
    <x v="391"/>
    <x v="78"/>
    <x v="2"/>
    <x v="0"/>
    <x v="11"/>
    <x v="4"/>
    <x v="0"/>
    <x v="51"/>
    <x v="49"/>
    <x v="0"/>
    <x v="1"/>
  </r>
  <r>
    <x v="895"/>
    <x v="168"/>
    <x v="3"/>
    <x v="1"/>
    <x v="0"/>
    <x v="9"/>
    <x v="3"/>
    <x v="283"/>
    <x v="460"/>
    <x v="0"/>
    <x v="1"/>
  </r>
  <r>
    <x v="432"/>
    <x v="83"/>
    <x v="2"/>
    <x v="2"/>
    <x v="17"/>
    <x v="2"/>
    <x v="0"/>
    <x v="32"/>
    <x v="31"/>
    <x v="0"/>
    <x v="2"/>
  </r>
  <r>
    <x v="68"/>
    <x v="13"/>
    <x v="4"/>
    <x v="3"/>
    <x v="4"/>
    <x v="6"/>
    <x v="0"/>
    <x v="10"/>
    <x v="10"/>
    <x v="1"/>
    <x v="1"/>
  </r>
  <r>
    <x v="167"/>
    <x v="32"/>
    <x v="0"/>
    <x v="0"/>
    <x v="9"/>
    <x v="2"/>
    <x v="1"/>
    <x v="128"/>
    <x v="258"/>
    <x v="1"/>
    <x v="1"/>
  </r>
  <r>
    <x v="904"/>
    <x v="170"/>
    <x v="4"/>
    <x v="0"/>
    <x v="23"/>
    <x v="3"/>
    <x v="0"/>
    <x v="167"/>
    <x v="158"/>
    <x v="1"/>
    <x v="1"/>
  </r>
  <r>
    <x v="730"/>
    <x v="135"/>
    <x v="0"/>
    <x v="2"/>
    <x v="17"/>
    <x v="1"/>
    <x v="0"/>
    <x v="27"/>
    <x v="26"/>
    <x v="1"/>
    <x v="1"/>
  </r>
  <r>
    <x v="554"/>
    <x v="99"/>
    <x v="0"/>
    <x v="0"/>
    <x v="11"/>
    <x v="5"/>
    <x v="0"/>
    <x v="56"/>
    <x v="54"/>
    <x v="1"/>
    <x v="2"/>
  </r>
  <r>
    <x v="366"/>
    <x v="73"/>
    <x v="3"/>
    <x v="0"/>
    <x v="23"/>
    <x v="0"/>
    <x v="0"/>
    <x v="170"/>
    <x v="161"/>
    <x v="1"/>
    <x v="1"/>
  </r>
  <r>
    <x v="345"/>
    <x v="69"/>
    <x v="3"/>
    <x v="4"/>
    <x v="1"/>
    <x v="0"/>
    <x v="0"/>
    <x v="257"/>
    <x v="244"/>
    <x v="1"/>
    <x v="0"/>
  </r>
  <r>
    <x v="584"/>
    <x v="106"/>
    <x v="0"/>
    <x v="4"/>
    <x v="1"/>
    <x v="5"/>
    <x v="0"/>
    <x v="242"/>
    <x v="230"/>
    <x v="1"/>
    <x v="2"/>
  </r>
  <r>
    <x v="535"/>
    <x v="96"/>
    <x v="3"/>
    <x v="2"/>
    <x v="10"/>
    <x v="7"/>
    <x v="1"/>
    <x v="65"/>
    <x v="199"/>
    <x v="0"/>
    <x v="1"/>
  </r>
  <r>
    <x v="398"/>
    <x v="79"/>
    <x v="1"/>
    <x v="0"/>
    <x v="6"/>
    <x v="9"/>
    <x v="0"/>
    <x v="76"/>
    <x v="73"/>
    <x v="0"/>
    <x v="2"/>
  </r>
  <r>
    <x v="185"/>
    <x v="36"/>
    <x v="2"/>
    <x v="3"/>
    <x v="4"/>
    <x v="4"/>
    <x v="1"/>
    <x v="12"/>
    <x v="95"/>
    <x v="1"/>
    <x v="1"/>
  </r>
  <r>
    <x v="348"/>
    <x v="70"/>
    <x v="4"/>
    <x v="3"/>
    <x v="16"/>
    <x v="3"/>
    <x v="0"/>
    <x v="104"/>
    <x v="99"/>
    <x v="0"/>
    <x v="1"/>
  </r>
  <r>
    <x v="615"/>
    <x v="111"/>
    <x v="3"/>
    <x v="3"/>
    <x v="4"/>
    <x v="6"/>
    <x v="0"/>
    <x v="14"/>
    <x v="14"/>
    <x v="1"/>
    <x v="1"/>
  </r>
  <r>
    <x v="919"/>
    <x v="172"/>
    <x v="3"/>
    <x v="3"/>
    <x v="5"/>
    <x v="1"/>
    <x v="0"/>
    <x v="40"/>
    <x v="39"/>
    <x v="1"/>
    <x v="1"/>
  </r>
  <r>
    <x v="211"/>
    <x v="41"/>
    <x v="4"/>
    <x v="0"/>
    <x v="14"/>
    <x v="9"/>
    <x v="1"/>
    <x v="77"/>
    <x v="220"/>
    <x v="0"/>
    <x v="1"/>
  </r>
  <r>
    <x v="579"/>
    <x v="104"/>
    <x v="3"/>
    <x v="1"/>
    <x v="13"/>
    <x v="6"/>
    <x v="0"/>
    <x v="395"/>
    <x v="457"/>
    <x v="1"/>
    <x v="0"/>
  </r>
  <r>
    <x v="502"/>
    <x v="92"/>
    <x v="3"/>
    <x v="1"/>
    <x v="12"/>
    <x v="0"/>
    <x v="0"/>
    <x v="437"/>
    <x v="496"/>
    <x v="1"/>
    <x v="1"/>
  </r>
  <r>
    <x v="537"/>
    <x v="96"/>
    <x v="2"/>
    <x v="0"/>
    <x v="14"/>
    <x v="5"/>
    <x v="1"/>
    <x v="90"/>
    <x v="237"/>
    <x v="0"/>
    <x v="2"/>
  </r>
  <r>
    <x v="196"/>
    <x v="38"/>
    <x v="3"/>
    <x v="0"/>
    <x v="9"/>
    <x v="3"/>
    <x v="0"/>
    <x v="122"/>
    <x v="114"/>
    <x v="0"/>
    <x v="2"/>
  </r>
  <r>
    <x v="175"/>
    <x v="34"/>
    <x v="2"/>
    <x v="0"/>
    <x v="9"/>
    <x v="5"/>
    <x v="0"/>
    <x v="123"/>
    <x v="115"/>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4" cacheId="0" applyNumberFormats="0" applyBorderFormats="0" applyFontFormats="0" applyPatternFormats="0" applyAlignmentFormats="0" applyWidthHeightFormats="0" dataCaption="Values" itemPrintTitles="1" indent="0" outline="1" outlineData="1" multipleFieldFilters="0">
  <location ref="A57:B63" firstHeaderRow="1" firstDataRow="1" firstDataCol="1"/>
  <pivotFields count="12">
    <pivotField showAll="0"/>
    <pivotField showAll="0"/>
    <pivotField showAll="0"/>
    <pivotField axis="axisRow" showAll="0">
      <items count="6">
        <item x="0"/>
        <item x="1"/>
        <item x="2"/>
        <item x="3"/>
        <item x="4"/>
        <item t="default"/>
      </items>
    </pivotField>
    <pivotField showAll="0"/>
    <pivotField showAll="0"/>
    <pivotField dataField="1" showAll="0"/>
    <pivotField showAll="0"/>
    <pivotField showAll="0"/>
    <pivotField showAll="0"/>
    <pivotField showAll="0"/>
    <pivotField showAll="0">
      <items count="1">
        <item t="default"/>
      </items>
    </pivotField>
  </pivotFields>
  <rowFields count="1">
    <field x="3"/>
  </rowFields>
  <rowItems count="6">
    <i>
      <x/>
    </i>
    <i>
      <x v="1"/>
    </i>
    <i>
      <x v="2"/>
    </i>
    <i>
      <x v="3"/>
    </i>
    <i>
      <x v="4"/>
    </i>
    <i t="grand">
      <x v="5"/>
    </i>
  </rowItems>
  <colItems count="1">
    <i t="grand"/>
  </colItems>
  <dataFields count="1">
    <dataField name="Sum of Units Sold" fld="6" baseField="0" baseItem="0" numFmtId="16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 cacheId="0" applyNumberFormats="0" applyBorderFormats="0" applyFontFormats="0" applyPatternFormats="0" applyAlignmentFormats="0" applyWidthHeightFormats="0" dataCaption="Values" itemPrintTitles="1" indent="0" outline="1" outlineData="1" multipleFieldFilters="0">
  <location ref="A39:B50" firstHeaderRow="1" firstDataRow="1" firstDataCol="1"/>
  <pivotFields count="12">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dataField="1" showAll="0"/>
    <pivotField showAll="0"/>
    <pivotField showAll="0"/>
    <pivotField showAll="0">
      <items count="1">
        <item t="default"/>
      </items>
    </pivotField>
  </pivotFields>
  <rowFields count="1">
    <field x="5"/>
  </rowFields>
  <rowItems count="11">
    <i>
      <x/>
    </i>
    <i>
      <x v="1"/>
    </i>
    <i>
      <x v="2"/>
    </i>
    <i>
      <x v="3"/>
    </i>
    <i>
      <x v="4"/>
    </i>
    <i>
      <x v="5"/>
    </i>
    <i>
      <x v="6"/>
    </i>
    <i>
      <x v="7"/>
    </i>
    <i>
      <x v="8"/>
    </i>
    <i>
      <x v="9"/>
    </i>
    <i t="grand">
      <x v="10"/>
    </i>
  </rowItems>
  <colItems count="1">
    <i t="grand"/>
  </colItems>
  <dataFields count="1">
    <dataField name="Sum of Sales Amount (PKR)" fld="8"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1" cacheId="0" applyNumberFormats="0" applyBorderFormats="0" applyFontFormats="0" applyPatternFormats="0" applyAlignmentFormats="0" applyWidthHeightFormats="0" dataCaption="Values" itemPrintTitles="1" indent="0" outline="1" outlineData="1" multipleFieldFilters="0">
  <location ref="A5:B36" firstHeaderRow="1" firstDataRow="1" firstDataCol="1"/>
  <pivotFields count="12">
    <pivotField showAll="0"/>
    <pivotField showAll="0"/>
    <pivotField axis="axisRow" showAll="0">
      <items count="6">
        <item x="0"/>
        <item x="1"/>
        <item x="2"/>
        <item x="3"/>
        <item x="4"/>
        <item t="default"/>
      </items>
    </pivotField>
    <pivotField axis="axisRow" showAll="0">
      <items count="6">
        <item x="0"/>
        <item x="1"/>
        <item x="2"/>
        <item x="3"/>
        <item x="4"/>
        <item t="default"/>
      </items>
    </pivotField>
    <pivotField showAll="0"/>
    <pivotField showAll="0"/>
    <pivotField showAll="0"/>
    <pivotField showAll="0"/>
    <pivotField dataField="1" showAll="0"/>
    <pivotField showAll="0"/>
    <pivotField showAll="0"/>
    <pivotField showAll="0">
      <items count="1">
        <item t="default"/>
      </items>
    </pivotField>
  </pivotFields>
  <rowFields count="2">
    <field x="2"/>
    <field x="3"/>
  </rowFields>
  <rowItems count="31">
    <i>
      <x/>
    </i>
    <i>
      <x v="1"/>
    </i>
    <i>
      <x v="2"/>
    </i>
    <i>
      <x v="3"/>
    </i>
    <i>
      <x v="4"/>
    </i>
    <i>
      <x v="5"/>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t="grand">
      <x v="1048832"/>
    </i>
  </rowItems>
  <colItems count="1">
    <i t="grand"/>
  </colItems>
  <dataFields count="1">
    <dataField name="Sum of Sales Amount (PKR)" fld="8"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0" dataCaption="Values" itemPrintTitles="1" indent="0" outline="1" outlineData="1" multipleFieldFilters="0">
  <location ref="A74:E438" firstHeaderRow="1" firstDataRow="2" firstDataCol="1"/>
  <pivotFields count="12">
    <pivotField dataField="1" showAll="0"/>
    <pivotField axis="axisRow"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showAll="0"/>
    <pivotField showAll="0"/>
    <pivotField showAll="0"/>
    <pivotField showAll="0"/>
    <pivotField showAll="0"/>
    <pivotField showAll="0"/>
    <pivotField showAll="0"/>
    <pivotField axis="axisCol" showAll="0">
      <items count="4">
        <item x="0"/>
        <item x="1"/>
        <item x="2"/>
        <item t="default"/>
      </items>
    </pivotField>
    <pivotField axis="axisRow" showAll="0">
      <items count="1">
        <item t="default"/>
      </items>
    </pivotField>
  </pivotFields>
  <rowFields count="2">
    <field x="11"/>
    <field x="1"/>
  </rowFields>
  <rowItems count="363">
    <i>
      <x/>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x v="1048832"/>
    </i>
    <i t="grand">
      <x v="1048832"/>
    </i>
  </rowItems>
  <colFields count="1">
    <field x="10"/>
  </colFields>
  <colItems count="4">
    <i>
      <x/>
    </i>
    <i>
      <x v="1"/>
    </i>
    <i>
      <x v="2"/>
    </i>
    <i t="grand">
      <x v="3"/>
    </i>
  </colItems>
  <dataFields count="1">
    <dataField name="Count of Order ID" fld="0" subtotal="count" baseField="0" baseItem="0" numFmtId="16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3" displayName="SalesData3" ref="A1:L958" totalsRowShown="0">
  <autoFilter ref="A1:L958" xr:uid="{00000000-0009-0000-0100-000001000000}"/>
  <tableColumns count="12">
    <tableColumn id="1" xr3:uid="{00000000-0010-0000-0000-000001000000}" name="Order ID"/>
    <tableColumn id="2" xr3:uid="{00000000-0010-0000-0000-000002000000}" name="Date"/>
    <tableColumn id="3" xr3:uid="{00000000-0010-0000-0000-000003000000}" name="Region"/>
    <tableColumn id="4" xr3:uid="{00000000-0010-0000-0000-000004000000}" name="Category"/>
    <tableColumn id="5" xr3:uid="{00000000-0010-0000-0000-000005000000}" name="Product"/>
    <tableColumn id="6" xr3:uid="{00000000-0010-0000-0000-000006000000}" name="Salesperson"/>
    <tableColumn id="7" xr3:uid="{00000000-0010-0000-0000-000007000000}" name="Units Sold"/>
    <tableColumn id="8" xr3:uid="{00000000-0010-0000-0000-000008000000}" name="Unit Price (PKR)"/>
    <tableColumn id="9" xr3:uid="{00000000-0010-0000-0000-000009000000}" name="Sales Amount (PKR)"/>
    <tableColumn id="10" xr3:uid="{00000000-0010-0000-0000-00000A000000}" name="Customer Type"/>
    <tableColumn id="11" xr3:uid="{00000000-0010-0000-0000-00000B000000}" name="Payment Method"/>
    <tableColumn id="12" xr3:uid="{00000000-0010-0000-0000-00000C000000}" name="Column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0"/>
  <sheetViews>
    <sheetView zoomScaleNormal="100" workbookViewId="0">
      <pane ySplit="1" topLeftCell="A2" activePane="bottomLeft" state="frozen"/>
      <selection pane="bottomLeft" activeCell="I12" sqref="I12"/>
    </sheetView>
  </sheetViews>
  <sheetFormatPr defaultColWidth="8.73046875" defaultRowHeight="14.25" customHeight="1" x14ac:dyDescent="0.45"/>
  <cols>
    <col min="1" max="2" width="12" customWidth="1"/>
    <col min="3" max="3" width="13.06640625" customWidth="1"/>
    <col min="4" max="4" width="16" customWidth="1"/>
    <col min="5" max="5" width="20.06640625" customWidth="1"/>
    <col min="6" max="6" width="16" customWidth="1"/>
    <col min="7" max="7" width="11" customWidth="1"/>
    <col min="8" max="8" width="14.9296875" customWidth="1"/>
    <col min="9" max="9" width="16" customWidth="1"/>
    <col min="10" max="10" width="13.06640625" customWidth="1"/>
    <col min="11" max="11" width="14.9296875" customWidth="1"/>
    <col min="12" max="12" width="9.6640625" customWidth="1"/>
  </cols>
  <sheetData>
    <row r="1" spans="1:12" ht="14.25" customHeight="1" x14ac:dyDescent="0.45">
      <c r="A1" s="1" t="s">
        <v>58</v>
      </c>
      <c r="B1" s="1" t="s">
        <v>59</v>
      </c>
      <c r="C1" s="1" t="s">
        <v>60</v>
      </c>
      <c r="D1" s="1" t="s">
        <v>61</v>
      </c>
      <c r="E1" s="1" t="s">
        <v>62</v>
      </c>
      <c r="F1" s="1" t="s">
        <v>63</v>
      </c>
      <c r="G1" s="1" t="s">
        <v>64</v>
      </c>
      <c r="H1" s="1" t="s">
        <v>65</v>
      </c>
      <c r="I1" s="1" t="s">
        <v>66</v>
      </c>
      <c r="J1" s="1" t="s">
        <v>67</v>
      </c>
      <c r="K1" s="1" t="s">
        <v>68</v>
      </c>
      <c r="L1" t="s">
        <v>69</v>
      </c>
    </row>
    <row r="2" spans="1:12" ht="14.25" customHeight="1" x14ac:dyDescent="0.45">
      <c r="A2" t="s">
        <v>70</v>
      </c>
      <c r="B2" s="2" t="s">
        <v>71</v>
      </c>
      <c r="C2" t="s">
        <v>72</v>
      </c>
      <c r="D2" t="s">
        <v>73</v>
      </c>
      <c r="E2" t="s">
        <v>74</v>
      </c>
      <c r="F2" t="s">
        <v>75</v>
      </c>
      <c r="G2">
        <v>4</v>
      </c>
      <c r="H2" s="3">
        <v>95560</v>
      </c>
      <c r="I2" s="3">
        <v>382240</v>
      </c>
      <c r="J2" t="s">
        <v>76</v>
      </c>
      <c r="K2" t="s">
        <v>77</v>
      </c>
      <c r="L2" s="3">
        <f>SUM(SalesData3[Sales Amount (PKR)])</f>
        <v>11946830</v>
      </c>
    </row>
    <row r="3" spans="1:12" ht="14.25" customHeight="1" x14ac:dyDescent="0.45">
      <c r="A3" t="s">
        <v>78</v>
      </c>
      <c r="B3" s="2" t="s">
        <v>79</v>
      </c>
      <c r="C3" t="s">
        <v>80</v>
      </c>
      <c r="D3" t="s">
        <v>73</v>
      </c>
      <c r="E3" t="s">
        <v>74</v>
      </c>
      <c r="F3" t="s">
        <v>81</v>
      </c>
      <c r="G3">
        <v>3</v>
      </c>
      <c r="H3" s="3">
        <v>95890</v>
      </c>
      <c r="I3" s="3">
        <v>287670</v>
      </c>
      <c r="J3" t="s">
        <v>82</v>
      </c>
      <c r="K3" t="s">
        <v>83</v>
      </c>
      <c r="L3" s="3">
        <f>SUM(SalesData3[Sales Amount (PKR)])</f>
        <v>11946830</v>
      </c>
    </row>
    <row r="4" spans="1:12" ht="14.25" customHeight="1" x14ac:dyDescent="0.45">
      <c r="A4" t="s">
        <v>84</v>
      </c>
      <c r="B4" s="2" t="s">
        <v>85</v>
      </c>
      <c r="C4" t="s">
        <v>72</v>
      </c>
      <c r="D4" t="s">
        <v>73</v>
      </c>
      <c r="E4" t="s">
        <v>74</v>
      </c>
      <c r="F4" t="s">
        <v>86</v>
      </c>
      <c r="G4">
        <v>3</v>
      </c>
      <c r="H4" s="3">
        <v>92190</v>
      </c>
      <c r="I4" s="3">
        <v>276570</v>
      </c>
      <c r="J4" t="s">
        <v>76</v>
      </c>
      <c r="K4" t="s">
        <v>83</v>
      </c>
      <c r="L4" s="3">
        <f>SUM(SalesData3[Sales Amount (PKR)])</f>
        <v>11946830</v>
      </c>
    </row>
    <row r="5" spans="1:12" ht="14.25" customHeight="1" x14ac:dyDescent="0.45">
      <c r="A5" t="s">
        <v>87</v>
      </c>
      <c r="B5" s="2" t="s">
        <v>88</v>
      </c>
      <c r="C5" t="s">
        <v>89</v>
      </c>
      <c r="D5" t="s">
        <v>73</v>
      </c>
      <c r="E5" t="s">
        <v>74</v>
      </c>
      <c r="F5" t="s">
        <v>90</v>
      </c>
      <c r="G5">
        <v>2</v>
      </c>
      <c r="H5" s="3">
        <v>97750</v>
      </c>
      <c r="I5" s="3">
        <v>195500</v>
      </c>
      <c r="J5" t="s">
        <v>76</v>
      </c>
      <c r="K5" t="s">
        <v>83</v>
      </c>
      <c r="L5" s="3">
        <f>SUM(SalesData3[Sales Amount (PKR)])</f>
        <v>11946830</v>
      </c>
    </row>
    <row r="6" spans="1:12" ht="14.25" customHeight="1" x14ac:dyDescent="0.45">
      <c r="A6" t="s">
        <v>91</v>
      </c>
      <c r="B6" s="2" t="s">
        <v>92</v>
      </c>
      <c r="C6" t="s">
        <v>89</v>
      </c>
      <c r="D6" t="s">
        <v>73</v>
      </c>
      <c r="E6" t="s">
        <v>74</v>
      </c>
      <c r="F6" t="s">
        <v>90</v>
      </c>
      <c r="G6">
        <v>2</v>
      </c>
      <c r="H6" s="3">
        <v>92460</v>
      </c>
      <c r="I6" s="3">
        <v>184920</v>
      </c>
      <c r="J6" t="s">
        <v>76</v>
      </c>
      <c r="K6" t="s">
        <v>93</v>
      </c>
      <c r="L6" s="3">
        <f>SUM(SalesData3[Sales Amount (PKR)])</f>
        <v>11946830</v>
      </c>
    </row>
    <row r="7" spans="1:12" ht="14.25" customHeight="1" x14ac:dyDescent="0.45">
      <c r="A7" t="s">
        <v>94</v>
      </c>
      <c r="B7" s="2" t="s">
        <v>95</v>
      </c>
      <c r="C7" t="s">
        <v>96</v>
      </c>
      <c r="D7" t="s">
        <v>73</v>
      </c>
      <c r="E7" t="s">
        <v>74</v>
      </c>
      <c r="F7" t="s">
        <v>97</v>
      </c>
      <c r="G7">
        <v>2</v>
      </c>
      <c r="H7" s="3">
        <v>91570</v>
      </c>
      <c r="I7" s="3">
        <v>183140</v>
      </c>
      <c r="J7" t="s">
        <v>76</v>
      </c>
      <c r="K7" t="s">
        <v>77</v>
      </c>
      <c r="L7" s="3">
        <f>SUM(SalesData3[Sales Amount (PKR)])</f>
        <v>11946830</v>
      </c>
    </row>
    <row r="8" spans="1:12" ht="14.25" customHeight="1" x14ac:dyDescent="0.45">
      <c r="A8" t="s">
        <v>98</v>
      </c>
      <c r="B8" s="2" t="s">
        <v>99</v>
      </c>
      <c r="C8" t="s">
        <v>100</v>
      </c>
      <c r="D8" t="s">
        <v>73</v>
      </c>
      <c r="E8" t="s">
        <v>101</v>
      </c>
      <c r="F8" t="s">
        <v>75</v>
      </c>
      <c r="G8">
        <v>4</v>
      </c>
      <c r="H8" s="3">
        <v>42860</v>
      </c>
      <c r="I8" s="3">
        <v>171440</v>
      </c>
      <c r="J8" t="s">
        <v>82</v>
      </c>
      <c r="K8" t="s">
        <v>83</v>
      </c>
      <c r="L8" s="3">
        <f>SUM(SalesData3[Sales Amount (PKR)])</f>
        <v>11946830</v>
      </c>
    </row>
    <row r="9" spans="1:12" ht="14.25" customHeight="1" x14ac:dyDescent="0.45">
      <c r="A9" t="s">
        <v>102</v>
      </c>
      <c r="B9" s="2" t="s">
        <v>103</v>
      </c>
      <c r="C9" t="s">
        <v>72</v>
      </c>
      <c r="D9" t="s">
        <v>73</v>
      </c>
      <c r="E9" t="s">
        <v>104</v>
      </c>
      <c r="F9" t="s">
        <v>86</v>
      </c>
      <c r="G9">
        <v>3</v>
      </c>
      <c r="H9" s="3">
        <v>56730</v>
      </c>
      <c r="I9" s="3">
        <v>170190</v>
      </c>
      <c r="J9" t="s">
        <v>76</v>
      </c>
      <c r="K9" t="s">
        <v>93</v>
      </c>
      <c r="L9" s="3">
        <f>SUM(SalesData3[Sales Amount (PKR)])</f>
        <v>11946830</v>
      </c>
    </row>
    <row r="10" spans="1:12" ht="14.25" customHeight="1" x14ac:dyDescent="0.45">
      <c r="A10" t="s">
        <v>105</v>
      </c>
      <c r="B10" s="2" t="s">
        <v>106</v>
      </c>
      <c r="C10" t="s">
        <v>89</v>
      </c>
      <c r="D10" t="s">
        <v>73</v>
      </c>
      <c r="E10" t="s">
        <v>101</v>
      </c>
      <c r="F10" t="s">
        <v>107</v>
      </c>
      <c r="G10">
        <v>3</v>
      </c>
      <c r="H10" s="3">
        <v>42960</v>
      </c>
      <c r="I10" s="3">
        <v>128880</v>
      </c>
      <c r="J10" t="s">
        <v>82</v>
      </c>
      <c r="K10" t="s">
        <v>77</v>
      </c>
      <c r="L10" s="3">
        <f>SUM(SalesData3[Sales Amount (PKR)])</f>
        <v>11946830</v>
      </c>
    </row>
    <row r="11" spans="1:12" ht="14.25" customHeight="1" x14ac:dyDescent="0.45">
      <c r="A11" t="s">
        <v>108</v>
      </c>
      <c r="B11" s="2" t="s">
        <v>109</v>
      </c>
      <c r="C11" t="s">
        <v>72</v>
      </c>
      <c r="D11" t="s">
        <v>73</v>
      </c>
      <c r="E11" t="s">
        <v>101</v>
      </c>
      <c r="F11" t="s">
        <v>97</v>
      </c>
      <c r="G11">
        <v>3</v>
      </c>
      <c r="H11" s="3">
        <v>41610</v>
      </c>
      <c r="I11" s="3">
        <v>124830</v>
      </c>
      <c r="J11" t="s">
        <v>82</v>
      </c>
      <c r="K11" t="s">
        <v>83</v>
      </c>
      <c r="L11" s="3">
        <f>SUM(SalesData3[Sales Amount (PKR)])</f>
        <v>11946830</v>
      </c>
    </row>
    <row r="12" spans="1:12" ht="14.25" customHeight="1" x14ac:dyDescent="0.45">
      <c r="A12" t="s">
        <v>110</v>
      </c>
      <c r="B12" s="2" t="s">
        <v>111</v>
      </c>
      <c r="C12" t="s">
        <v>96</v>
      </c>
      <c r="D12" t="s">
        <v>73</v>
      </c>
      <c r="E12" t="s">
        <v>101</v>
      </c>
      <c r="F12" t="s">
        <v>97</v>
      </c>
      <c r="G12">
        <v>3</v>
      </c>
      <c r="H12" s="3">
        <v>41240</v>
      </c>
      <c r="I12" s="3">
        <v>123720</v>
      </c>
      <c r="J12" t="s">
        <v>76</v>
      </c>
      <c r="K12" t="s">
        <v>93</v>
      </c>
      <c r="L12" s="3">
        <f>SUM(SalesData3[Sales Amount (PKR)])</f>
        <v>11946830</v>
      </c>
    </row>
    <row r="13" spans="1:12" ht="14.25" customHeight="1" x14ac:dyDescent="0.45">
      <c r="A13" t="s">
        <v>112</v>
      </c>
      <c r="B13" s="2" t="s">
        <v>113</v>
      </c>
      <c r="C13" t="s">
        <v>89</v>
      </c>
      <c r="D13" t="s">
        <v>73</v>
      </c>
      <c r="E13" t="s">
        <v>104</v>
      </c>
      <c r="F13" t="s">
        <v>107</v>
      </c>
      <c r="G13">
        <v>2</v>
      </c>
      <c r="H13" s="3">
        <v>56960</v>
      </c>
      <c r="I13" s="3">
        <v>113920</v>
      </c>
      <c r="J13" t="s">
        <v>76</v>
      </c>
      <c r="K13" t="s">
        <v>83</v>
      </c>
      <c r="L13" s="3">
        <f>SUM(SalesData3[Sales Amount (PKR)])</f>
        <v>11946830</v>
      </c>
    </row>
    <row r="14" spans="1:12" ht="14.25" customHeight="1" x14ac:dyDescent="0.45">
      <c r="A14" t="s">
        <v>114</v>
      </c>
      <c r="B14" s="2" t="s">
        <v>115</v>
      </c>
      <c r="C14" t="s">
        <v>72</v>
      </c>
      <c r="D14" t="s">
        <v>73</v>
      </c>
      <c r="E14" t="s">
        <v>104</v>
      </c>
      <c r="F14" t="s">
        <v>97</v>
      </c>
      <c r="G14">
        <v>2</v>
      </c>
      <c r="H14" s="3">
        <v>56920</v>
      </c>
      <c r="I14" s="3">
        <v>113840</v>
      </c>
      <c r="J14" t="s">
        <v>82</v>
      </c>
      <c r="K14" t="s">
        <v>83</v>
      </c>
      <c r="L14" s="3">
        <f>SUM(SalesData3[Sales Amount (PKR)])</f>
        <v>11946830</v>
      </c>
    </row>
    <row r="15" spans="1:12" ht="14.25" customHeight="1" x14ac:dyDescent="0.45">
      <c r="A15" t="s">
        <v>116</v>
      </c>
      <c r="B15" s="2" t="s">
        <v>99</v>
      </c>
      <c r="C15" t="s">
        <v>89</v>
      </c>
      <c r="D15" t="s">
        <v>73</v>
      </c>
      <c r="E15" t="s">
        <v>104</v>
      </c>
      <c r="F15" t="s">
        <v>117</v>
      </c>
      <c r="G15">
        <v>2</v>
      </c>
      <c r="H15" s="3">
        <v>56790</v>
      </c>
      <c r="I15" s="3">
        <v>113580</v>
      </c>
      <c r="J15" t="s">
        <v>82</v>
      </c>
      <c r="K15" t="s">
        <v>93</v>
      </c>
      <c r="L15" s="3">
        <f>SUM(SalesData3[Sales Amount (PKR)])</f>
        <v>11946830</v>
      </c>
    </row>
    <row r="16" spans="1:12" ht="14.25" customHeight="1" x14ac:dyDescent="0.45">
      <c r="A16" t="s">
        <v>118</v>
      </c>
      <c r="B16" s="2" t="s">
        <v>119</v>
      </c>
      <c r="C16" t="s">
        <v>96</v>
      </c>
      <c r="D16" t="s">
        <v>73</v>
      </c>
      <c r="E16" t="s">
        <v>104</v>
      </c>
      <c r="F16" t="s">
        <v>86</v>
      </c>
      <c r="G16">
        <v>2</v>
      </c>
      <c r="H16" s="3">
        <v>55900</v>
      </c>
      <c r="I16" s="3">
        <v>111800</v>
      </c>
      <c r="J16" t="s">
        <v>76</v>
      </c>
      <c r="K16" t="s">
        <v>77</v>
      </c>
      <c r="L16" s="3">
        <f>SUM(SalesData3[Sales Amount (PKR)])</f>
        <v>11946830</v>
      </c>
    </row>
    <row r="17" spans="1:12" ht="14.25" customHeight="1" x14ac:dyDescent="0.45">
      <c r="A17" t="s">
        <v>120</v>
      </c>
      <c r="B17" s="2" t="s">
        <v>92</v>
      </c>
      <c r="C17" t="s">
        <v>100</v>
      </c>
      <c r="D17" t="s">
        <v>73</v>
      </c>
      <c r="E17" t="s">
        <v>104</v>
      </c>
      <c r="F17" t="s">
        <v>97</v>
      </c>
      <c r="G17">
        <v>2</v>
      </c>
      <c r="H17" s="3">
        <v>55720</v>
      </c>
      <c r="I17" s="3">
        <v>111440</v>
      </c>
      <c r="J17" t="s">
        <v>82</v>
      </c>
      <c r="K17" t="s">
        <v>93</v>
      </c>
      <c r="L17" s="3">
        <f>SUM(SalesData3[Sales Amount (PKR)])</f>
        <v>11946830</v>
      </c>
    </row>
    <row r="18" spans="1:12" ht="14.25" customHeight="1" x14ac:dyDescent="0.45">
      <c r="A18" t="s">
        <v>121</v>
      </c>
      <c r="B18" s="2" t="s">
        <v>122</v>
      </c>
      <c r="C18" t="s">
        <v>89</v>
      </c>
      <c r="D18" t="s">
        <v>73</v>
      </c>
      <c r="E18" t="s">
        <v>104</v>
      </c>
      <c r="F18" t="s">
        <v>123</v>
      </c>
      <c r="G18">
        <v>2</v>
      </c>
      <c r="H18" s="3">
        <v>55250</v>
      </c>
      <c r="I18" s="3">
        <v>110500</v>
      </c>
      <c r="J18" t="s">
        <v>76</v>
      </c>
      <c r="K18" t="s">
        <v>77</v>
      </c>
      <c r="L18" s="3">
        <f>SUM(SalesData3[Sales Amount (PKR)])</f>
        <v>11946830</v>
      </c>
    </row>
    <row r="19" spans="1:12" ht="14.25" customHeight="1" x14ac:dyDescent="0.45">
      <c r="A19" t="s">
        <v>124</v>
      </c>
      <c r="B19" s="2" t="s">
        <v>125</v>
      </c>
      <c r="C19" t="s">
        <v>89</v>
      </c>
      <c r="D19" t="s">
        <v>73</v>
      </c>
      <c r="E19" t="s">
        <v>104</v>
      </c>
      <c r="F19" t="s">
        <v>123</v>
      </c>
      <c r="G19">
        <v>2</v>
      </c>
      <c r="H19" s="3">
        <v>54720</v>
      </c>
      <c r="I19" s="3">
        <v>109440</v>
      </c>
      <c r="J19" t="s">
        <v>76</v>
      </c>
      <c r="K19" t="s">
        <v>83</v>
      </c>
      <c r="L19" s="3">
        <f>SUM(SalesData3[Sales Amount (PKR)])</f>
        <v>11946830</v>
      </c>
    </row>
    <row r="20" spans="1:12" ht="14.25" customHeight="1" x14ac:dyDescent="0.45">
      <c r="A20" t="s">
        <v>126</v>
      </c>
      <c r="B20" s="2" t="s">
        <v>127</v>
      </c>
      <c r="C20" t="s">
        <v>100</v>
      </c>
      <c r="D20" t="s">
        <v>73</v>
      </c>
      <c r="E20" t="s">
        <v>104</v>
      </c>
      <c r="F20" t="s">
        <v>75</v>
      </c>
      <c r="G20">
        <v>2</v>
      </c>
      <c r="H20" s="3">
        <v>54570</v>
      </c>
      <c r="I20" s="3">
        <v>109140</v>
      </c>
      <c r="J20" t="s">
        <v>76</v>
      </c>
      <c r="K20" t="s">
        <v>93</v>
      </c>
      <c r="L20" s="3">
        <f>SUM(SalesData3[Sales Amount (PKR)])</f>
        <v>11946830</v>
      </c>
    </row>
    <row r="21" spans="1:12" ht="14.25" customHeight="1" x14ac:dyDescent="0.45">
      <c r="A21" t="s">
        <v>128</v>
      </c>
      <c r="B21" s="2" t="s">
        <v>85</v>
      </c>
      <c r="C21" t="s">
        <v>96</v>
      </c>
      <c r="D21" t="s">
        <v>73</v>
      </c>
      <c r="E21" t="s">
        <v>104</v>
      </c>
      <c r="F21" t="s">
        <v>81</v>
      </c>
      <c r="G21">
        <v>2</v>
      </c>
      <c r="H21" s="3">
        <v>54230</v>
      </c>
      <c r="I21" s="3">
        <v>108460</v>
      </c>
      <c r="J21" t="s">
        <v>82</v>
      </c>
      <c r="K21" t="s">
        <v>83</v>
      </c>
      <c r="L21" s="3">
        <f>SUM(SalesData3[Sales Amount (PKR)])</f>
        <v>11946830</v>
      </c>
    </row>
    <row r="22" spans="1:12" ht="14.25" customHeight="1" x14ac:dyDescent="0.45">
      <c r="A22" t="s">
        <v>129</v>
      </c>
      <c r="B22" s="2" t="s">
        <v>130</v>
      </c>
      <c r="C22" t="s">
        <v>89</v>
      </c>
      <c r="D22" t="s">
        <v>73</v>
      </c>
      <c r="E22" t="s">
        <v>104</v>
      </c>
      <c r="F22" t="s">
        <v>131</v>
      </c>
      <c r="G22">
        <v>2</v>
      </c>
      <c r="H22" s="3">
        <v>53720</v>
      </c>
      <c r="I22" s="3">
        <v>107440</v>
      </c>
      <c r="J22" t="s">
        <v>82</v>
      </c>
      <c r="K22" t="s">
        <v>93</v>
      </c>
      <c r="L22" s="3">
        <f>SUM(SalesData3[Sales Amount (PKR)])</f>
        <v>11946830</v>
      </c>
    </row>
    <row r="23" spans="1:12" ht="14.25" customHeight="1" x14ac:dyDescent="0.45">
      <c r="A23" t="s">
        <v>132</v>
      </c>
      <c r="B23" s="2" t="s">
        <v>133</v>
      </c>
      <c r="C23" t="s">
        <v>100</v>
      </c>
      <c r="D23" t="s">
        <v>73</v>
      </c>
      <c r="E23" t="s">
        <v>104</v>
      </c>
      <c r="F23" t="s">
        <v>123</v>
      </c>
      <c r="G23">
        <v>2</v>
      </c>
      <c r="H23" s="3">
        <v>52910</v>
      </c>
      <c r="I23" s="3">
        <v>105820</v>
      </c>
      <c r="J23" t="s">
        <v>76</v>
      </c>
      <c r="K23" t="s">
        <v>93</v>
      </c>
      <c r="L23" s="3">
        <f>SUM(SalesData3[Sales Amount (PKR)])</f>
        <v>11946830</v>
      </c>
    </row>
    <row r="24" spans="1:12" ht="14.25" customHeight="1" x14ac:dyDescent="0.45">
      <c r="A24" t="s">
        <v>134</v>
      </c>
      <c r="B24" s="2" t="s">
        <v>135</v>
      </c>
      <c r="C24" t="s">
        <v>80</v>
      </c>
      <c r="D24" t="s">
        <v>73</v>
      </c>
      <c r="E24" t="s">
        <v>74</v>
      </c>
      <c r="F24" t="s">
        <v>86</v>
      </c>
      <c r="G24">
        <v>1</v>
      </c>
      <c r="H24" s="3">
        <v>98530</v>
      </c>
      <c r="I24" s="3">
        <v>98530</v>
      </c>
      <c r="J24" t="s">
        <v>82</v>
      </c>
      <c r="K24" t="s">
        <v>83</v>
      </c>
      <c r="L24" s="3">
        <f>SUM(SalesData3[Sales Amount (PKR)])</f>
        <v>11946830</v>
      </c>
    </row>
    <row r="25" spans="1:12" ht="14.25" customHeight="1" x14ac:dyDescent="0.45">
      <c r="A25" t="s">
        <v>136</v>
      </c>
      <c r="B25" s="2" t="s">
        <v>137</v>
      </c>
      <c r="C25" t="s">
        <v>96</v>
      </c>
      <c r="D25" t="s">
        <v>73</v>
      </c>
      <c r="E25" t="s">
        <v>74</v>
      </c>
      <c r="F25" t="s">
        <v>117</v>
      </c>
      <c r="G25">
        <v>1</v>
      </c>
      <c r="H25" s="3">
        <v>98330</v>
      </c>
      <c r="I25" s="3">
        <v>98330</v>
      </c>
      <c r="J25" t="s">
        <v>76</v>
      </c>
      <c r="K25" t="s">
        <v>77</v>
      </c>
      <c r="L25" s="3">
        <f>SUM(SalesData3[Sales Amount (PKR)])</f>
        <v>11946830</v>
      </c>
    </row>
    <row r="26" spans="1:12" ht="14.25" customHeight="1" x14ac:dyDescent="0.45">
      <c r="A26" t="s">
        <v>138</v>
      </c>
      <c r="B26" s="2" t="s">
        <v>139</v>
      </c>
      <c r="C26" t="s">
        <v>96</v>
      </c>
      <c r="D26" t="s">
        <v>73</v>
      </c>
      <c r="E26" t="s">
        <v>74</v>
      </c>
      <c r="F26" t="s">
        <v>140</v>
      </c>
      <c r="G26">
        <v>1</v>
      </c>
      <c r="H26" s="3">
        <v>98150</v>
      </c>
      <c r="I26" s="3">
        <v>98150</v>
      </c>
      <c r="J26" t="s">
        <v>76</v>
      </c>
      <c r="K26" t="s">
        <v>77</v>
      </c>
      <c r="L26" s="3">
        <f>SUM(SalesData3[Sales Amount (PKR)])</f>
        <v>11946830</v>
      </c>
    </row>
    <row r="27" spans="1:12" ht="14.25" customHeight="1" x14ac:dyDescent="0.45">
      <c r="A27" t="s">
        <v>141</v>
      </c>
      <c r="B27" s="2" t="s">
        <v>142</v>
      </c>
      <c r="C27" t="s">
        <v>89</v>
      </c>
      <c r="D27" t="s">
        <v>73</v>
      </c>
      <c r="E27" t="s">
        <v>74</v>
      </c>
      <c r="F27" t="s">
        <v>75</v>
      </c>
      <c r="G27">
        <v>1</v>
      </c>
      <c r="H27" s="3">
        <v>98120</v>
      </c>
      <c r="I27" s="3">
        <v>98120</v>
      </c>
      <c r="J27" t="s">
        <v>76</v>
      </c>
      <c r="K27" t="s">
        <v>83</v>
      </c>
      <c r="L27" s="3">
        <f>SUM(SalesData3[Sales Amount (PKR)])</f>
        <v>11946830</v>
      </c>
    </row>
    <row r="28" spans="1:12" ht="14.25" customHeight="1" x14ac:dyDescent="0.45">
      <c r="A28" t="s">
        <v>143</v>
      </c>
      <c r="B28" s="2" t="s">
        <v>99</v>
      </c>
      <c r="C28" t="s">
        <v>100</v>
      </c>
      <c r="D28" t="s">
        <v>73</v>
      </c>
      <c r="E28" t="s">
        <v>74</v>
      </c>
      <c r="F28" t="s">
        <v>140</v>
      </c>
      <c r="G28">
        <v>1</v>
      </c>
      <c r="H28" s="3">
        <v>96890</v>
      </c>
      <c r="I28" s="3">
        <v>96890</v>
      </c>
      <c r="J28" t="s">
        <v>82</v>
      </c>
      <c r="K28" t="s">
        <v>77</v>
      </c>
      <c r="L28" s="3">
        <f>SUM(SalesData3[Sales Amount (PKR)])</f>
        <v>11946830</v>
      </c>
    </row>
    <row r="29" spans="1:12" ht="14.25" customHeight="1" x14ac:dyDescent="0.45">
      <c r="A29" t="s">
        <v>144</v>
      </c>
      <c r="B29" s="2" t="s">
        <v>133</v>
      </c>
      <c r="C29" t="s">
        <v>96</v>
      </c>
      <c r="D29" t="s">
        <v>73</v>
      </c>
      <c r="E29" t="s">
        <v>74</v>
      </c>
      <c r="F29" t="s">
        <v>140</v>
      </c>
      <c r="G29">
        <v>1</v>
      </c>
      <c r="H29" s="3">
        <v>95880</v>
      </c>
      <c r="I29" s="3">
        <v>95880</v>
      </c>
      <c r="J29" t="s">
        <v>82</v>
      </c>
      <c r="K29" t="s">
        <v>77</v>
      </c>
      <c r="L29" s="3">
        <f>SUM(SalesData3[Sales Amount (PKR)])</f>
        <v>11946830</v>
      </c>
    </row>
    <row r="30" spans="1:12" ht="14.25" customHeight="1" x14ac:dyDescent="0.45">
      <c r="A30" t="s">
        <v>145</v>
      </c>
      <c r="B30" s="2" t="s">
        <v>146</v>
      </c>
      <c r="C30" t="s">
        <v>80</v>
      </c>
      <c r="D30" t="s">
        <v>73</v>
      </c>
      <c r="E30" t="s">
        <v>74</v>
      </c>
      <c r="F30" t="s">
        <v>117</v>
      </c>
      <c r="G30">
        <v>1</v>
      </c>
      <c r="H30" s="3">
        <v>95430</v>
      </c>
      <c r="I30" s="3">
        <v>95430</v>
      </c>
      <c r="J30" t="s">
        <v>76</v>
      </c>
      <c r="K30" t="s">
        <v>83</v>
      </c>
      <c r="L30" s="3">
        <f>SUM(SalesData3[Sales Amount (PKR)])</f>
        <v>11946830</v>
      </c>
    </row>
    <row r="31" spans="1:12" ht="14.25" customHeight="1" x14ac:dyDescent="0.45">
      <c r="A31" t="s">
        <v>147</v>
      </c>
      <c r="B31" s="2" t="s">
        <v>148</v>
      </c>
      <c r="C31" t="s">
        <v>96</v>
      </c>
      <c r="D31" t="s">
        <v>73</v>
      </c>
      <c r="E31" t="s">
        <v>74</v>
      </c>
      <c r="F31" t="s">
        <v>75</v>
      </c>
      <c r="G31">
        <v>1</v>
      </c>
      <c r="H31" s="3">
        <v>95350</v>
      </c>
      <c r="I31" s="3">
        <v>95350</v>
      </c>
      <c r="J31" t="s">
        <v>82</v>
      </c>
      <c r="K31" t="s">
        <v>83</v>
      </c>
      <c r="L31" s="3">
        <f>SUM(SalesData3[Sales Amount (PKR)])</f>
        <v>11946830</v>
      </c>
    </row>
    <row r="32" spans="1:12" ht="14.25" customHeight="1" x14ac:dyDescent="0.45">
      <c r="A32" t="s">
        <v>149</v>
      </c>
      <c r="B32" s="2" t="s">
        <v>150</v>
      </c>
      <c r="C32" t="s">
        <v>100</v>
      </c>
      <c r="D32" t="s">
        <v>73</v>
      </c>
      <c r="E32" t="s">
        <v>74</v>
      </c>
      <c r="F32" t="s">
        <v>86</v>
      </c>
      <c r="G32">
        <v>1</v>
      </c>
      <c r="H32" s="3">
        <v>95130</v>
      </c>
      <c r="I32" s="3">
        <v>95130</v>
      </c>
      <c r="J32" t="s">
        <v>82</v>
      </c>
      <c r="K32" t="s">
        <v>83</v>
      </c>
      <c r="L32" s="3">
        <f>SUM(SalesData3[Sales Amount (PKR)])</f>
        <v>11946830</v>
      </c>
    </row>
    <row r="33" spans="1:12" ht="14.25" customHeight="1" x14ac:dyDescent="0.45">
      <c r="A33" t="s">
        <v>151</v>
      </c>
      <c r="B33" s="2" t="s">
        <v>152</v>
      </c>
      <c r="C33" t="s">
        <v>80</v>
      </c>
      <c r="D33" t="s">
        <v>73</v>
      </c>
      <c r="E33" t="s">
        <v>74</v>
      </c>
      <c r="F33" t="s">
        <v>140</v>
      </c>
      <c r="G33">
        <v>1</v>
      </c>
      <c r="H33" s="3">
        <v>94620</v>
      </c>
      <c r="I33" s="3">
        <v>94620</v>
      </c>
      <c r="J33" t="s">
        <v>76</v>
      </c>
      <c r="K33" t="s">
        <v>93</v>
      </c>
      <c r="L33" s="3">
        <f>SUM(SalesData3[Sales Amount (PKR)])</f>
        <v>11946830</v>
      </c>
    </row>
    <row r="34" spans="1:12" ht="14.25" customHeight="1" x14ac:dyDescent="0.45">
      <c r="A34" t="s">
        <v>153</v>
      </c>
      <c r="B34" s="2" t="s">
        <v>154</v>
      </c>
      <c r="C34" t="s">
        <v>96</v>
      </c>
      <c r="D34" t="s">
        <v>73</v>
      </c>
      <c r="E34" t="s">
        <v>74</v>
      </c>
      <c r="F34" t="s">
        <v>97</v>
      </c>
      <c r="G34">
        <v>1</v>
      </c>
      <c r="H34" s="3">
        <v>93450</v>
      </c>
      <c r="I34" s="3">
        <v>93450</v>
      </c>
      <c r="J34" t="s">
        <v>76</v>
      </c>
      <c r="K34" t="s">
        <v>83</v>
      </c>
      <c r="L34" s="3">
        <f>SUM(SalesData3[Sales Amount (PKR)])</f>
        <v>11946830</v>
      </c>
    </row>
    <row r="35" spans="1:12" ht="14.25" customHeight="1" x14ac:dyDescent="0.45">
      <c r="A35" t="s">
        <v>155</v>
      </c>
      <c r="B35" s="2" t="s">
        <v>156</v>
      </c>
      <c r="C35" t="s">
        <v>96</v>
      </c>
      <c r="D35" t="s">
        <v>73</v>
      </c>
      <c r="E35" t="s">
        <v>74</v>
      </c>
      <c r="F35" t="s">
        <v>140</v>
      </c>
      <c r="G35">
        <v>1</v>
      </c>
      <c r="H35" s="3">
        <v>93310</v>
      </c>
      <c r="I35" s="3">
        <v>93310</v>
      </c>
      <c r="J35" t="s">
        <v>82</v>
      </c>
      <c r="K35" t="s">
        <v>93</v>
      </c>
      <c r="L35" s="3">
        <f>SUM(SalesData3[Sales Amount (PKR)])</f>
        <v>11946830</v>
      </c>
    </row>
    <row r="36" spans="1:12" ht="14.25" customHeight="1" x14ac:dyDescent="0.45">
      <c r="A36" t="s">
        <v>157</v>
      </c>
      <c r="B36" s="2" t="s">
        <v>158</v>
      </c>
      <c r="C36" t="s">
        <v>100</v>
      </c>
      <c r="D36" t="s">
        <v>73</v>
      </c>
      <c r="E36" t="s">
        <v>74</v>
      </c>
      <c r="F36" t="s">
        <v>75</v>
      </c>
      <c r="G36">
        <v>1</v>
      </c>
      <c r="H36" s="3">
        <v>93160</v>
      </c>
      <c r="I36" s="3">
        <v>93160</v>
      </c>
      <c r="J36" t="s">
        <v>76</v>
      </c>
      <c r="K36" t="s">
        <v>93</v>
      </c>
      <c r="L36" s="3">
        <f>SUM(SalesData3[Sales Amount (PKR)])</f>
        <v>11946830</v>
      </c>
    </row>
    <row r="37" spans="1:12" ht="14.25" customHeight="1" x14ac:dyDescent="0.45">
      <c r="A37" t="s">
        <v>159</v>
      </c>
      <c r="B37" s="2" t="s">
        <v>160</v>
      </c>
      <c r="C37" t="s">
        <v>89</v>
      </c>
      <c r="D37" t="s">
        <v>73</v>
      </c>
      <c r="E37" t="s">
        <v>74</v>
      </c>
      <c r="F37" t="s">
        <v>90</v>
      </c>
      <c r="G37">
        <v>1</v>
      </c>
      <c r="H37" s="3">
        <v>92930</v>
      </c>
      <c r="I37" s="3">
        <v>92930</v>
      </c>
      <c r="J37" t="s">
        <v>76</v>
      </c>
      <c r="K37" t="s">
        <v>83</v>
      </c>
      <c r="L37" s="3">
        <f>SUM(SalesData3[Sales Amount (PKR)])</f>
        <v>11946830</v>
      </c>
    </row>
    <row r="38" spans="1:12" ht="14.25" customHeight="1" x14ac:dyDescent="0.45">
      <c r="A38" t="s">
        <v>161</v>
      </c>
      <c r="B38" s="2" t="s">
        <v>162</v>
      </c>
      <c r="C38" t="s">
        <v>96</v>
      </c>
      <c r="D38" t="s">
        <v>73</v>
      </c>
      <c r="E38" t="s">
        <v>74</v>
      </c>
      <c r="F38" t="s">
        <v>81</v>
      </c>
      <c r="G38">
        <v>1</v>
      </c>
      <c r="H38" s="3">
        <v>91980</v>
      </c>
      <c r="I38" s="3">
        <v>91980</v>
      </c>
      <c r="J38" t="s">
        <v>76</v>
      </c>
      <c r="K38" t="s">
        <v>83</v>
      </c>
      <c r="L38" s="3">
        <f>SUM(SalesData3[Sales Amount (PKR)])</f>
        <v>11946830</v>
      </c>
    </row>
    <row r="39" spans="1:12" ht="14.25" customHeight="1" x14ac:dyDescent="0.45">
      <c r="A39" t="s">
        <v>163</v>
      </c>
      <c r="B39" s="2" t="s">
        <v>164</v>
      </c>
      <c r="C39" t="s">
        <v>80</v>
      </c>
      <c r="D39" t="s">
        <v>73</v>
      </c>
      <c r="E39" t="s">
        <v>101</v>
      </c>
      <c r="F39" t="s">
        <v>97</v>
      </c>
      <c r="G39">
        <v>2</v>
      </c>
      <c r="H39" s="3">
        <v>42840</v>
      </c>
      <c r="I39" s="3">
        <v>85680</v>
      </c>
      <c r="J39" t="s">
        <v>82</v>
      </c>
      <c r="K39" t="s">
        <v>77</v>
      </c>
      <c r="L39" s="3">
        <f>SUM(SalesData3[Sales Amount (PKR)])</f>
        <v>11946830</v>
      </c>
    </row>
    <row r="40" spans="1:12" ht="14.25" customHeight="1" x14ac:dyDescent="0.45">
      <c r="A40" t="s">
        <v>165</v>
      </c>
      <c r="B40" s="2" t="s">
        <v>166</v>
      </c>
      <c r="C40" t="s">
        <v>89</v>
      </c>
      <c r="D40" t="s">
        <v>73</v>
      </c>
      <c r="E40" t="s">
        <v>101</v>
      </c>
      <c r="F40" t="s">
        <v>97</v>
      </c>
      <c r="G40">
        <v>2</v>
      </c>
      <c r="H40" s="3">
        <v>42750</v>
      </c>
      <c r="I40" s="3">
        <v>85500</v>
      </c>
      <c r="J40" t="s">
        <v>76</v>
      </c>
      <c r="K40" t="s">
        <v>77</v>
      </c>
      <c r="L40" s="3">
        <f>SUM(SalesData3[Sales Amount (PKR)])</f>
        <v>11946830</v>
      </c>
    </row>
    <row r="41" spans="1:12" ht="14.25" customHeight="1" x14ac:dyDescent="0.45">
      <c r="A41" t="s">
        <v>167</v>
      </c>
      <c r="B41" s="2" t="s">
        <v>150</v>
      </c>
      <c r="C41" t="s">
        <v>96</v>
      </c>
      <c r="D41" t="s">
        <v>73</v>
      </c>
      <c r="E41" t="s">
        <v>101</v>
      </c>
      <c r="F41" t="s">
        <v>81</v>
      </c>
      <c r="G41">
        <v>2</v>
      </c>
      <c r="H41" s="3">
        <v>42200</v>
      </c>
      <c r="I41" s="3">
        <v>84400</v>
      </c>
      <c r="J41" t="s">
        <v>76</v>
      </c>
      <c r="K41" t="s">
        <v>83</v>
      </c>
      <c r="L41" s="3">
        <f>SUM(SalesData3[Sales Amount (PKR)])</f>
        <v>11946830</v>
      </c>
    </row>
    <row r="42" spans="1:12" ht="14.25" customHeight="1" x14ac:dyDescent="0.45">
      <c r="A42" t="s">
        <v>168</v>
      </c>
      <c r="B42" s="2" t="s">
        <v>169</v>
      </c>
      <c r="C42" t="s">
        <v>80</v>
      </c>
      <c r="D42" t="s">
        <v>73</v>
      </c>
      <c r="E42" t="s">
        <v>101</v>
      </c>
      <c r="F42" t="s">
        <v>140</v>
      </c>
      <c r="G42">
        <v>2</v>
      </c>
      <c r="H42" s="3">
        <v>42030</v>
      </c>
      <c r="I42" s="3">
        <v>84060</v>
      </c>
      <c r="J42" t="s">
        <v>82</v>
      </c>
      <c r="K42" t="s">
        <v>77</v>
      </c>
      <c r="L42" s="3">
        <f>SUM(SalesData3[Sales Amount (PKR)])</f>
        <v>11946830</v>
      </c>
    </row>
    <row r="43" spans="1:12" ht="14.25" customHeight="1" x14ac:dyDescent="0.45">
      <c r="A43" t="s">
        <v>170</v>
      </c>
      <c r="B43" s="2" t="s">
        <v>171</v>
      </c>
      <c r="C43" t="s">
        <v>89</v>
      </c>
      <c r="D43" t="s">
        <v>73</v>
      </c>
      <c r="E43" t="s">
        <v>101</v>
      </c>
      <c r="F43" t="s">
        <v>86</v>
      </c>
      <c r="G43">
        <v>2</v>
      </c>
      <c r="H43" s="3">
        <v>41740</v>
      </c>
      <c r="I43" s="3">
        <v>83480</v>
      </c>
      <c r="J43" t="s">
        <v>82</v>
      </c>
      <c r="K43" t="s">
        <v>83</v>
      </c>
      <c r="L43" s="3">
        <f>SUM(SalesData3[Sales Amount (PKR)])</f>
        <v>11946830</v>
      </c>
    </row>
    <row r="44" spans="1:12" ht="14.25" customHeight="1" x14ac:dyDescent="0.45">
      <c r="A44" t="s">
        <v>172</v>
      </c>
      <c r="B44" s="2" t="s">
        <v>173</v>
      </c>
      <c r="C44" t="s">
        <v>89</v>
      </c>
      <c r="D44" t="s">
        <v>73</v>
      </c>
      <c r="E44" t="s">
        <v>101</v>
      </c>
      <c r="F44" t="s">
        <v>86</v>
      </c>
      <c r="G44">
        <v>2</v>
      </c>
      <c r="H44" s="3">
        <v>41730</v>
      </c>
      <c r="I44" s="3">
        <v>83460</v>
      </c>
      <c r="J44" t="s">
        <v>76</v>
      </c>
      <c r="K44" t="s">
        <v>83</v>
      </c>
      <c r="L44" s="3">
        <f>SUM(SalesData3[Sales Amount (PKR)])</f>
        <v>11946830</v>
      </c>
    </row>
    <row r="45" spans="1:12" ht="14.25" customHeight="1" x14ac:dyDescent="0.45">
      <c r="A45" t="s">
        <v>174</v>
      </c>
      <c r="B45" s="2" t="s">
        <v>175</v>
      </c>
      <c r="C45" t="s">
        <v>100</v>
      </c>
      <c r="D45" t="s">
        <v>73</v>
      </c>
      <c r="E45" t="s">
        <v>101</v>
      </c>
      <c r="F45" t="s">
        <v>140</v>
      </c>
      <c r="G45">
        <v>2</v>
      </c>
      <c r="H45" s="3">
        <v>41440</v>
      </c>
      <c r="I45" s="3">
        <v>82880</v>
      </c>
      <c r="J45" t="s">
        <v>82</v>
      </c>
      <c r="K45" t="s">
        <v>77</v>
      </c>
      <c r="L45" s="3">
        <f>SUM(SalesData3[Sales Amount (PKR)])</f>
        <v>11946830</v>
      </c>
    </row>
    <row r="46" spans="1:12" ht="14.25" customHeight="1" x14ac:dyDescent="0.45">
      <c r="A46" t="s">
        <v>176</v>
      </c>
      <c r="B46" s="2" t="s">
        <v>177</v>
      </c>
      <c r="C46" t="s">
        <v>100</v>
      </c>
      <c r="D46" t="s">
        <v>73</v>
      </c>
      <c r="E46" t="s">
        <v>101</v>
      </c>
      <c r="F46" t="s">
        <v>90</v>
      </c>
      <c r="G46">
        <v>2</v>
      </c>
      <c r="H46" s="3">
        <v>41030</v>
      </c>
      <c r="I46" s="3">
        <v>82060</v>
      </c>
      <c r="J46" t="s">
        <v>82</v>
      </c>
      <c r="K46" t="s">
        <v>93</v>
      </c>
      <c r="L46" s="3">
        <f>SUM(SalesData3[Sales Amount (PKR)])</f>
        <v>11946830</v>
      </c>
    </row>
    <row r="47" spans="1:12" ht="14.25" customHeight="1" x14ac:dyDescent="0.45">
      <c r="A47" t="s">
        <v>178</v>
      </c>
      <c r="B47" s="2" t="s">
        <v>179</v>
      </c>
      <c r="C47" t="s">
        <v>96</v>
      </c>
      <c r="D47" t="s">
        <v>73</v>
      </c>
      <c r="E47" t="s">
        <v>101</v>
      </c>
      <c r="F47" t="s">
        <v>90</v>
      </c>
      <c r="G47">
        <v>2</v>
      </c>
      <c r="H47" s="3">
        <v>40950</v>
      </c>
      <c r="I47" s="3">
        <v>81900</v>
      </c>
      <c r="J47" t="s">
        <v>76</v>
      </c>
      <c r="K47" t="s">
        <v>93</v>
      </c>
      <c r="L47" s="3">
        <f>SUM(SalesData3[Sales Amount (PKR)])</f>
        <v>11946830</v>
      </c>
    </row>
    <row r="48" spans="1:12" ht="14.25" customHeight="1" x14ac:dyDescent="0.45">
      <c r="A48" t="s">
        <v>180</v>
      </c>
      <c r="B48" s="2" t="s">
        <v>181</v>
      </c>
      <c r="C48" t="s">
        <v>96</v>
      </c>
      <c r="D48" t="s">
        <v>73</v>
      </c>
      <c r="E48" t="s">
        <v>101</v>
      </c>
      <c r="F48" t="s">
        <v>131</v>
      </c>
      <c r="G48">
        <v>2</v>
      </c>
      <c r="H48" s="3">
        <v>40730</v>
      </c>
      <c r="I48" s="3">
        <v>81460</v>
      </c>
      <c r="J48" t="s">
        <v>76</v>
      </c>
      <c r="K48" t="s">
        <v>93</v>
      </c>
      <c r="L48" s="3">
        <f>SUM(SalesData3[Sales Amount (PKR)])</f>
        <v>11946830</v>
      </c>
    </row>
    <row r="49" spans="1:12" ht="14.25" customHeight="1" x14ac:dyDescent="0.45">
      <c r="A49" t="s">
        <v>182</v>
      </c>
      <c r="B49" s="2" t="s">
        <v>183</v>
      </c>
      <c r="C49" t="s">
        <v>96</v>
      </c>
      <c r="D49" t="s">
        <v>73</v>
      </c>
      <c r="E49" t="s">
        <v>104</v>
      </c>
      <c r="F49" t="s">
        <v>123</v>
      </c>
      <c r="G49">
        <v>1</v>
      </c>
      <c r="H49" s="3">
        <v>57040</v>
      </c>
      <c r="I49" s="3">
        <v>57040</v>
      </c>
      <c r="J49" t="s">
        <v>82</v>
      </c>
      <c r="K49" t="s">
        <v>83</v>
      </c>
      <c r="L49" s="3">
        <f>SUM(SalesData3[Sales Amount (PKR)])</f>
        <v>11946830</v>
      </c>
    </row>
    <row r="50" spans="1:12" ht="14.25" customHeight="1" x14ac:dyDescent="0.45">
      <c r="A50" t="s">
        <v>184</v>
      </c>
      <c r="B50" s="2" t="s">
        <v>127</v>
      </c>
      <c r="C50" t="s">
        <v>89</v>
      </c>
      <c r="D50" t="s">
        <v>73</v>
      </c>
      <c r="E50" t="s">
        <v>104</v>
      </c>
      <c r="F50" t="s">
        <v>97</v>
      </c>
      <c r="G50">
        <v>1</v>
      </c>
      <c r="H50" s="3">
        <v>56750</v>
      </c>
      <c r="I50" s="3">
        <v>56750</v>
      </c>
      <c r="J50" t="s">
        <v>82</v>
      </c>
      <c r="K50" t="s">
        <v>83</v>
      </c>
      <c r="L50" s="3">
        <f>SUM(SalesData3[Sales Amount (PKR)])</f>
        <v>11946830</v>
      </c>
    </row>
    <row r="51" spans="1:12" ht="14.25" customHeight="1" x14ac:dyDescent="0.45">
      <c r="A51" t="s">
        <v>185</v>
      </c>
      <c r="B51" s="2" t="s">
        <v>186</v>
      </c>
      <c r="C51" t="s">
        <v>100</v>
      </c>
      <c r="D51" t="s">
        <v>73</v>
      </c>
      <c r="E51" t="s">
        <v>104</v>
      </c>
      <c r="F51" t="s">
        <v>90</v>
      </c>
      <c r="G51">
        <v>1</v>
      </c>
      <c r="H51" s="3">
        <v>56300</v>
      </c>
      <c r="I51" s="3">
        <v>56300</v>
      </c>
      <c r="J51" t="s">
        <v>76</v>
      </c>
      <c r="K51" t="s">
        <v>83</v>
      </c>
      <c r="L51" s="3">
        <f>SUM(SalesData3[Sales Amount (PKR)])</f>
        <v>11946830</v>
      </c>
    </row>
    <row r="52" spans="1:12" ht="14.25" customHeight="1" x14ac:dyDescent="0.45">
      <c r="A52" t="s">
        <v>187</v>
      </c>
      <c r="B52" s="2" t="s">
        <v>188</v>
      </c>
      <c r="C52" t="s">
        <v>96</v>
      </c>
      <c r="D52" t="s">
        <v>73</v>
      </c>
      <c r="E52" t="s">
        <v>104</v>
      </c>
      <c r="F52" t="s">
        <v>117</v>
      </c>
      <c r="G52">
        <v>1</v>
      </c>
      <c r="H52" s="3">
        <v>56140</v>
      </c>
      <c r="I52" s="3">
        <v>56140</v>
      </c>
      <c r="J52" t="s">
        <v>82</v>
      </c>
      <c r="K52" t="s">
        <v>77</v>
      </c>
      <c r="L52" s="3">
        <f>SUM(SalesData3[Sales Amount (PKR)])</f>
        <v>11946830</v>
      </c>
    </row>
    <row r="53" spans="1:12" ht="14.25" customHeight="1" x14ac:dyDescent="0.45">
      <c r="A53" t="s">
        <v>189</v>
      </c>
      <c r="B53" s="2" t="s">
        <v>190</v>
      </c>
      <c r="C53" t="s">
        <v>96</v>
      </c>
      <c r="D53" t="s">
        <v>73</v>
      </c>
      <c r="E53" t="s">
        <v>104</v>
      </c>
      <c r="F53" t="s">
        <v>90</v>
      </c>
      <c r="G53">
        <v>1</v>
      </c>
      <c r="H53" s="3">
        <v>55990</v>
      </c>
      <c r="I53" s="3">
        <v>55990</v>
      </c>
      <c r="J53" t="s">
        <v>76</v>
      </c>
      <c r="K53" t="s">
        <v>77</v>
      </c>
      <c r="L53" s="3">
        <f>SUM(SalesData3[Sales Amount (PKR)])</f>
        <v>11946830</v>
      </c>
    </row>
    <row r="54" spans="1:12" ht="14.25" customHeight="1" x14ac:dyDescent="0.45">
      <c r="A54" t="s">
        <v>191</v>
      </c>
      <c r="B54" s="2" t="s">
        <v>192</v>
      </c>
      <c r="C54" t="s">
        <v>96</v>
      </c>
      <c r="D54" t="s">
        <v>73</v>
      </c>
      <c r="E54" t="s">
        <v>104</v>
      </c>
      <c r="F54" t="s">
        <v>81</v>
      </c>
      <c r="G54">
        <v>1</v>
      </c>
      <c r="H54" s="3">
        <v>55520</v>
      </c>
      <c r="I54" s="3">
        <v>55520</v>
      </c>
      <c r="J54" t="s">
        <v>76</v>
      </c>
      <c r="K54" t="s">
        <v>83</v>
      </c>
      <c r="L54" s="3">
        <f>SUM(SalesData3[Sales Amount (PKR)])</f>
        <v>11946830</v>
      </c>
    </row>
    <row r="55" spans="1:12" ht="14.25" customHeight="1" x14ac:dyDescent="0.45">
      <c r="A55" t="s">
        <v>193</v>
      </c>
      <c r="B55" s="2" t="s">
        <v>194</v>
      </c>
      <c r="C55" t="s">
        <v>89</v>
      </c>
      <c r="D55" t="s">
        <v>73</v>
      </c>
      <c r="E55" t="s">
        <v>104</v>
      </c>
      <c r="F55" t="s">
        <v>97</v>
      </c>
      <c r="G55">
        <v>1</v>
      </c>
      <c r="H55" s="3">
        <v>55490</v>
      </c>
      <c r="I55" s="3">
        <v>55490</v>
      </c>
      <c r="J55" t="s">
        <v>76</v>
      </c>
      <c r="K55" t="s">
        <v>83</v>
      </c>
      <c r="L55" s="3">
        <f>SUM(SalesData3[Sales Amount (PKR)])</f>
        <v>11946830</v>
      </c>
    </row>
    <row r="56" spans="1:12" ht="14.25" customHeight="1" x14ac:dyDescent="0.45">
      <c r="A56" t="s">
        <v>195</v>
      </c>
      <c r="B56" s="2" t="s">
        <v>181</v>
      </c>
      <c r="C56" t="s">
        <v>89</v>
      </c>
      <c r="D56" t="s">
        <v>196</v>
      </c>
      <c r="E56" t="s">
        <v>197</v>
      </c>
      <c r="F56" t="s">
        <v>86</v>
      </c>
      <c r="G56">
        <v>3</v>
      </c>
      <c r="H56" s="3">
        <v>18350</v>
      </c>
      <c r="I56" s="3">
        <v>55050</v>
      </c>
      <c r="J56" t="s">
        <v>76</v>
      </c>
      <c r="K56" t="s">
        <v>83</v>
      </c>
      <c r="L56" s="3">
        <f>SUM(SalesData3[Sales Amount (PKR)])</f>
        <v>11946830</v>
      </c>
    </row>
    <row r="57" spans="1:12" ht="14.25" customHeight="1" x14ac:dyDescent="0.45">
      <c r="A57" t="s">
        <v>198</v>
      </c>
      <c r="B57" s="2" t="s">
        <v>88</v>
      </c>
      <c r="C57" t="s">
        <v>89</v>
      </c>
      <c r="D57" t="s">
        <v>73</v>
      </c>
      <c r="E57" t="s">
        <v>104</v>
      </c>
      <c r="F57" t="s">
        <v>107</v>
      </c>
      <c r="G57">
        <v>1</v>
      </c>
      <c r="H57" s="3">
        <v>54570</v>
      </c>
      <c r="I57" s="3">
        <v>54570</v>
      </c>
      <c r="J57" t="s">
        <v>76</v>
      </c>
      <c r="K57" t="s">
        <v>83</v>
      </c>
      <c r="L57" s="3">
        <f>SUM(SalesData3[Sales Amount (PKR)])</f>
        <v>11946830</v>
      </c>
    </row>
    <row r="58" spans="1:12" ht="14.25" customHeight="1" x14ac:dyDescent="0.45">
      <c r="A58" t="s">
        <v>199</v>
      </c>
      <c r="B58" s="2" t="s">
        <v>200</v>
      </c>
      <c r="C58" t="s">
        <v>96</v>
      </c>
      <c r="D58" t="s">
        <v>73</v>
      </c>
      <c r="E58" t="s">
        <v>104</v>
      </c>
      <c r="F58" t="s">
        <v>131</v>
      </c>
      <c r="G58">
        <v>1</v>
      </c>
      <c r="H58" s="3">
        <v>54230</v>
      </c>
      <c r="I58" s="3">
        <v>54230</v>
      </c>
      <c r="J58" t="s">
        <v>76</v>
      </c>
      <c r="K58" t="s">
        <v>93</v>
      </c>
      <c r="L58" s="3">
        <f>SUM(SalesData3[Sales Amount (PKR)])</f>
        <v>11946830</v>
      </c>
    </row>
    <row r="59" spans="1:12" ht="14.25" customHeight="1" x14ac:dyDescent="0.45">
      <c r="A59" t="s">
        <v>201</v>
      </c>
      <c r="B59" s="2" t="s">
        <v>202</v>
      </c>
      <c r="C59" t="s">
        <v>96</v>
      </c>
      <c r="D59" t="s">
        <v>73</v>
      </c>
      <c r="E59" t="s">
        <v>104</v>
      </c>
      <c r="F59" t="s">
        <v>107</v>
      </c>
      <c r="G59">
        <v>1</v>
      </c>
      <c r="H59" s="3">
        <v>54100</v>
      </c>
      <c r="I59" s="3">
        <v>54100</v>
      </c>
      <c r="J59" t="s">
        <v>76</v>
      </c>
      <c r="K59" t="s">
        <v>83</v>
      </c>
      <c r="L59" s="3">
        <f>SUM(SalesData3[Sales Amount (PKR)])</f>
        <v>11946830</v>
      </c>
    </row>
    <row r="60" spans="1:12" ht="14.25" customHeight="1" x14ac:dyDescent="0.45">
      <c r="A60" t="s">
        <v>203</v>
      </c>
      <c r="B60" s="2" t="s">
        <v>204</v>
      </c>
      <c r="C60" t="s">
        <v>72</v>
      </c>
      <c r="D60" t="s">
        <v>73</v>
      </c>
      <c r="E60" t="s">
        <v>104</v>
      </c>
      <c r="F60" t="s">
        <v>107</v>
      </c>
      <c r="G60">
        <v>1</v>
      </c>
      <c r="H60" s="3">
        <v>53970</v>
      </c>
      <c r="I60" s="3">
        <v>53970</v>
      </c>
      <c r="J60" t="s">
        <v>82</v>
      </c>
      <c r="K60" t="s">
        <v>83</v>
      </c>
      <c r="L60" s="3">
        <f>SUM(SalesData3[Sales Amount (PKR)])</f>
        <v>11946830</v>
      </c>
    </row>
    <row r="61" spans="1:12" ht="14.25" customHeight="1" x14ac:dyDescent="0.45">
      <c r="A61" t="s">
        <v>205</v>
      </c>
      <c r="B61" s="2" t="s">
        <v>206</v>
      </c>
      <c r="C61" t="s">
        <v>100</v>
      </c>
      <c r="D61" t="s">
        <v>73</v>
      </c>
      <c r="E61" t="s">
        <v>104</v>
      </c>
      <c r="F61" t="s">
        <v>90</v>
      </c>
      <c r="G61">
        <v>1</v>
      </c>
      <c r="H61" s="3">
        <v>53950</v>
      </c>
      <c r="I61" s="3">
        <v>53950</v>
      </c>
      <c r="J61" t="s">
        <v>76</v>
      </c>
      <c r="K61" t="s">
        <v>93</v>
      </c>
      <c r="L61" s="3">
        <f>SUM(SalesData3[Sales Amount (PKR)])</f>
        <v>11946830</v>
      </c>
    </row>
    <row r="62" spans="1:12" ht="14.25" customHeight="1" x14ac:dyDescent="0.45">
      <c r="A62" t="s">
        <v>207</v>
      </c>
      <c r="B62" s="2" t="s">
        <v>208</v>
      </c>
      <c r="C62" t="s">
        <v>89</v>
      </c>
      <c r="D62" t="s">
        <v>73</v>
      </c>
      <c r="E62" t="s">
        <v>104</v>
      </c>
      <c r="F62" t="s">
        <v>140</v>
      </c>
      <c r="G62">
        <v>1</v>
      </c>
      <c r="H62" s="3">
        <v>53360</v>
      </c>
      <c r="I62" s="3">
        <v>53360</v>
      </c>
      <c r="J62" t="s">
        <v>76</v>
      </c>
      <c r="K62" t="s">
        <v>83</v>
      </c>
      <c r="L62" s="3">
        <f>SUM(SalesData3[Sales Amount (PKR)])</f>
        <v>11946830</v>
      </c>
    </row>
    <row r="63" spans="1:12" ht="14.25" customHeight="1" x14ac:dyDescent="0.45">
      <c r="A63" t="s">
        <v>209</v>
      </c>
      <c r="B63" s="2" t="s">
        <v>210</v>
      </c>
      <c r="C63" t="s">
        <v>89</v>
      </c>
      <c r="D63" t="s">
        <v>73</v>
      </c>
      <c r="E63" t="s">
        <v>211</v>
      </c>
      <c r="F63" t="s">
        <v>131</v>
      </c>
      <c r="G63">
        <v>4</v>
      </c>
      <c r="H63" s="3">
        <v>12360</v>
      </c>
      <c r="I63" s="3">
        <v>49440</v>
      </c>
      <c r="J63" t="s">
        <v>82</v>
      </c>
      <c r="K63" t="s">
        <v>83</v>
      </c>
      <c r="L63" s="3">
        <f>SUM(SalesData3[Sales Amount (PKR)])</f>
        <v>11946830</v>
      </c>
    </row>
    <row r="64" spans="1:12" ht="14.25" customHeight="1" x14ac:dyDescent="0.45">
      <c r="A64" t="s">
        <v>212</v>
      </c>
      <c r="B64" s="2" t="s">
        <v>213</v>
      </c>
      <c r="C64" t="s">
        <v>72</v>
      </c>
      <c r="D64" t="s">
        <v>196</v>
      </c>
      <c r="E64" t="s">
        <v>214</v>
      </c>
      <c r="F64" t="s">
        <v>86</v>
      </c>
      <c r="G64">
        <v>3</v>
      </c>
      <c r="H64" s="3">
        <v>15160</v>
      </c>
      <c r="I64" s="3">
        <v>45480</v>
      </c>
      <c r="J64" t="s">
        <v>82</v>
      </c>
      <c r="K64" t="s">
        <v>93</v>
      </c>
      <c r="L64" s="3">
        <f>SUM(SalesData3[Sales Amount (PKR)])</f>
        <v>11946830</v>
      </c>
    </row>
    <row r="65" spans="1:12" ht="14.25" customHeight="1" x14ac:dyDescent="0.45">
      <c r="A65" t="s">
        <v>215</v>
      </c>
      <c r="B65" s="2" t="s">
        <v>216</v>
      </c>
      <c r="C65" t="s">
        <v>100</v>
      </c>
      <c r="D65" t="s">
        <v>73</v>
      </c>
      <c r="E65" t="s">
        <v>101</v>
      </c>
      <c r="F65" t="s">
        <v>81</v>
      </c>
      <c r="G65">
        <v>1</v>
      </c>
      <c r="H65" s="3">
        <v>43640</v>
      </c>
      <c r="I65" s="3">
        <v>43640</v>
      </c>
      <c r="J65" t="s">
        <v>82</v>
      </c>
      <c r="K65" t="s">
        <v>93</v>
      </c>
      <c r="L65" s="3">
        <f>SUM(SalesData3[Sales Amount (PKR)])</f>
        <v>11946830</v>
      </c>
    </row>
    <row r="66" spans="1:12" ht="14.25" customHeight="1" x14ac:dyDescent="0.45">
      <c r="A66" t="s">
        <v>217</v>
      </c>
      <c r="B66" s="2" t="s">
        <v>218</v>
      </c>
      <c r="C66" t="s">
        <v>89</v>
      </c>
      <c r="D66" t="s">
        <v>73</v>
      </c>
      <c r="E66" t="s">
        <v>101</v>
      </c>
      <c r="F66" t="s">
        <v>107</v>
      </c>
      <c r="G66">
        <v>1</v>
      </c>
      <c r="H66" s="3">
        <v>43570</v>
      </c>
      <c r="I66" s="3">
        <v>43570</v>
      </c>
      <c r="J66" t="s">
        <v>76</v>
      </c>
      <c r="K66" t="s">
        <v>77</v>
      </c>
      <c r="L66" s="3">
        <f>SUM(SalesData3[Sales Amount (PKR)])</f>
        <v>11946830</v>
      </c>
    </row>
    <row r="67" spans="1:12" ht="14.25" customHeight="1" x14ac:dyDescent="0.45">
      <c r="A67" t="s">
        <v>219</v>
      </c>
      <c r="B67" s="2" t="s">
        <v>183</v>
      </c>
      <c r="C67" t="s">
        <v>72</v>
      </c>
      <c r="D67" t="s">
        <v>73</v>
      </c>
      <c r="E67" t="s">
        <v>101</v>
      </c>
      <c r="F67" t="s">
        <v>107</v>
      </c>
      <c r="G67">
        <v>1</v>
      </c>
      <c r="H67" s="3">
        <v>43470</v>
      </c>
      <c r="I67" s="3">
        <v>43470</v>
      </c>
      <c r="J67" t="s">
        <v>76</v>
      </c>
      <c r="K67" t="s">
        <v>83</v>
      </c>
      <c r="L67" s="3">
        <f>SUM(SalesData3[Sales Amount (PKR)])</f>
        <v>11946830</v>
      </c>
    </row>
    <row r="68" spans="1:12" ht="14.25" customHeight="1" x14ac:dyDescent="0.45">
      <c r="A68" t="s">
        <v>220</v>
      </c>
      <c r="B68" s="2" t="s">
        <v>221</v>
      </c>
      <c r="C68" t="s">
        <v>96</v>
      </c>
      <c r="D68" t="s">
        <v>73</v>
      </c>
      <c r="E68" t="s">
        <v>101</v>
      </c>
      <c r="F68" t="s">
        <v>97</v>
      </c>
      <c r="G68">
        <v>1</v>
      </c>
      <c r="H68" s="3">
        <v>43410</v>
      </c>
      <c r="I68" s="3">
        <v>43410</v>
      </c>
      <c r="J68" t="s">
        <v>82</v>
      </c>
      <c r="K68" t="s">
        <v>93</v>
      </c>
      <c r="L68" s="3">
        <f>SUM(SalesData3[Sales Amount (PKR)])</f>
        <v>11946830</v>
      </c>
    </row>
    <row r="69" spans="1:12" ht="14.25" customHeight="1" x14ac:dyDescent="0.45">
      <c r="A69" t="s">
        <v>222</v>
      </c>
      <c r="B69" s="2" t="s">
        <v>223</v>
      </c>
      <c r="C69" t="s">
        <v>89</v>
      </c>
      <c r="D69" t="s">
        <v>73</v>
      </c>
      <c r="E69" t="s">
        <v>101</v>
      </c>
      <c r="F69" t="s">
        <v>86</v>
      </c>
      <c r="G69">
        <v>1</v>
      </c>
      <c r="H69" s="3">
        <v>43380</v>
      </c>
      <c r="I69" s="3">
        <v>43380</v>
      </c>
      <c r="J69" t="s">
        <v>76</v>
      </c>
      <c r="K69" t="s">
        <v>83</v>
      </c>
      <c r="L69" s="3">
        <f>SUM(SalesData3[Sales Amount (PKR)])</f>
        <v>11946830</v>
      </c>
    </row>
    <row r="70" spans="1:12" ht="14.25" customHeight="1" x14ac:dyDescent="0.45">
      <c r="A70" t="s">
        <v>224</v>
      </c>
      <c r="B70" s="2" t="s">
        <v>225</v>
      </c>
      <c r="C70" t="s">
        <v>100</v>
      </c>
      <c r="D70" t="s">
        <v>73</v>
      </c>
      <c r="E70" t="s">
        <v>101</v>
      </c>
      <c r="F70" t="s">
        <v>140</v>
      </c>
      <c r="G70">
        <v>1</v>
      </c>
      <c r="H70" s="3">
        <v>43220</v>
      </c>
      <c r="I70" s="3">
        <v>43220</v>
      </c>
      <c r="J70" t="s">
        <v>76</v>
      </c>
      <c r="K70" t="s">
        <v>93</v>
      </c>
      <c r="L70" s="3">
        <f>SUM(SalesData3[Sales Amount (PKR)])</f>
        <v>11946830</v>
      </c>
    </row>
    <row r="71" spans="1:12" ht="14.25" customHeight="1" x14ac:dyDescent="0.45">
      <c r="A71" t="s">
        <v>226</v>
      </c>
      <c r="B71" s="2" t="s">
        <v>227</v>
      </c>
      <c r="C71" t="s">
        <v>80</v>
      </c>
      <c r="D71" t="s">
        <v>73</v>
      </c>
      <c r="E71" t="s">
        <v>101</v>
      </c>
      <c r="F71" t="s">
        <v>123</v>
      </c>
      <c r="G71">
        <v>1</v>
      </c>
      <c r="H71" s="3">
        <v>43090</v>
      </c>
      <c r="I71" s="3">
        <v>43090</v>
      </c>
      <c r="J71" t="s">
        <v>76</v>
      </c>
      <c r="K71" t="s">
        <v>83</v>
      </c>
      <c r="L71" s="3">
        <f>SUM(SalesData3[Sales Amount (PKR)])</f>
        <v>11946830</v>
      </c>
    </row>
    <row r="72" spans="1:12" ht="14.25" customHeight="1" x14ac:dyDescent="0.45">
      <c r="A72" t="s">
        <v>228</v>
      </c>
      <c r="B72" s="2" t="s">
        <v>229</v>
      </c>
      <c r="C72" t="s">
        <v>96</v>
      </c>
      <c r="D72" t="s">
        <v>73</v>
      </c>
      <c r="E72" t="s">
        <v>101</v>
      </c>
      <c r="F72" t="s">
        <v>117</v>
      </c>
      <c r="G72">
        <v>1</v>
      </c>
      <c r="H72" s="3">
        <v>43000</v>
      </c>
      <c r="I72" s="3">
        <v>43000</v>
      </c>
      <c r="J72" t="s">
        <v>76</v>
      </c>
      <c r="K72" t="s">
        <v>83</v>
      </c>
      <c r="L72" s="3">
        <f>SUM(SalesData3[Sales Amount (PKR)])</f>
        <v>11946830</v>
      </c>
    </row>
    <row r="73" spans="1:12" ht="14.25" customHeight="1" x14ac:dyDescent="0.45">
      <c r="A73" t="s">
        <v>230</v>
      </c>
      <c r="B73" s="2" t="s">
        <v>231</v>
      </c>
      <c r="C73" t="s">
        <v>100</v>
      </c>
      <c r="D73" t="s">
        <v>73</v>
      </c>
      <c r="E73" t="s">
        <v>101</v>
      </c>
      <c r="F73" t="s">
        <v>86</v>
      </c>
      <c r="G73">
        <v>1</v>
      </c>
      <c r="H73" s="3">
        <v>42990</v>
      </c>
      <c r="I73" s="3">
        <v>42990</v>
      </c>
      <c r="J73" t="s">
        <v>76</v>
      </c>
      <c r="K73" t="s">
        <v>83</v>
      </c>
      <c r="L73" s="3">
        <f>SUM(SalesData3[Sales Amount (PKR)])</f>
        <v>11946830</v>
      </c>
    </row>
    <row r="74" spans="1:12" ht="14.25" customHeight="1" x14ac:dyDescent="0.45">
      <c r="A74" t="s">
        <v>232</v>
      </c>
      <c r="B74" s="2" t="s">
        <v>79</v>
      </c>
      <c r="C74" t="s">
        <v>96</v>
      </c>
      <c r="D74" t="s">
        <v>73</v>
      </c>
      <c r="E74" t="s">
        <v>101</v>
      </c>
      <c r="F74" t="s">
        <v>123</v>
      </c>
      <c r="G74">
        <v>1</v>
      </c>
      <c r="H74" s="3">
        <v>42940</v>
      </c>
      <c r="I74" s="3">
        <v>42940</v>
      </c>
      <c r="J74" t="s">
        <v>76</v>
      </c>
      <c r="K74" t="s">
        <v>93</v>
      </c>
      <c r="L74" s="3">
        <f>SUM(SalesData3[Sales Amount (PKR)])</f>
        <v>11946830</v>
      </c>
    </row>
    <row r="75" spans="1:12" ht="14.25" customHeight="1" x14ac:dyDescent="0.45">
      <c r="A75" t="s">
        <v>233</v>
      </c>
      <c r="B75" s="2" t="s">
        <v>234</v>
      </c>
      <c r="C75" t="s">
        <v>96</v>
      </c>
      <c r="D75" t="s">
        <v>73</v>
      </c>
      <c r="E75" t="s">
        <v>101</v>
      </c>
      <c r="F75" t="s">
        <v>81</v>
      </c>
      <c r="G75">
        <v>1</v>
      </c>
      <c r="H75" s="3">
        <v>42640</v>
      </c>
      <c r="I75" s="3">
        <v>42640</v>
      </c>
      <c r="J75" t="s">
        <v>76</v>
      </c>
      <c r="K75" t="s">
        <v>93</v>
      </c>
      <c r="L75" s="3">
        <f>SUM(SalesData3[Sales Amount (PKR)])</f>
        <v>11946830</v>
      </c>
    </row>
    <row r="76" spans="1:12" ht="14.25" customHeight="1" x14ac:dyDescent="0.45">
      <c r="A76" t="s">
        <v>235</v>
      </c>
      <c r="B76" s="2" t="s">
        <v>135</v>
      </c>
      <c r="C76" t="s">
        <v>89</v>
      </c>
      <c r="D76" t="s">
        <v>73</v>
      </c>
      <c r="E76" t="s">
        <v>101</v>
      </c>
      <c r="F76" t="s">
        <v>107</v>
      </c>
      <c r="G76">
        <v>1</v>
      </c>
      <c r="H76" s="3">
        <v>42620</v>
      </c>
      <c r="I76" s="3">
        <v>42620</v>
      </c>
      <c r="J76" t="s">
        <v>82</v>
      </c>
      <c r="K76" t="s">
        <v>93</v>
      </c>
      <c r="L76" s="3">
        <f>SUM(SalesData3[Sales Amount (PKR)])</f>
        <v>11946830</v>
      </c>
    </row>
    <row r="77" spans="1:12" ht="14.25" customHeight="1" x14ac:dyDescent="0.45">
      <c r="A77" t="s">
        <v>236</v>
      </c>
      <c r="B77" s="2" t="s">
        <v>237</v>
      </c>
      <c r="C77" t="s">
        <v>89</v>
      </c>
      <c r="D77" t="s">
        <v>73</v>
      </c>
      <c r="E77" t="s">
        <v>101</v>
      </c>
      <c r="F77" t="s">
        <v>107</v>
      </c>
      <c r="G77">
        <v>1</v>
      </c>
      <c r="H77" s="3">
        <v>42300</v>
      </c>
      <c r="I77" s="3">
        <v>42300</v>
      </c>
      <c r="J77" t="s">
        <v>82</v>
      </c>
      <c r="K77" t="s">
        <v>93</v>
      </c>
      <c r="L77" s="3">
        <f>SUM(SalesData3[Sales Amount (PKR)])</f>
        <v>11946830</v>
      </c>
    </row>
    <row r="78" spans="1:12" ht="14.25" customHeight="1" x14ac:dyDescent="0.45">
      <c r="A78" t="s">
        <v>238</v>
      </c>
      <c r="B78" s="2" t="s">
        <v>109</v>
      </c>
      <c r="C78" t="s">
        <v>89</v>
      </c>
      <c r="D78" t="s">
        <v>73</v>
      </c>
      <c r="E78" t="s">
        <v>101</v>
      </c>
      <c r="F78" t="s">
        <v>140</v>
      </c>
      <c r="G78">
        <v>1</v>
      </c>
      <c r="H78" s="3">
        <v>42210</v>
      </c>
      <c r="I78" s="3">
        <v>42210</v>
      </c>
      <c r="J78" t="s">
        <v>82</v>
      </c>
      <c r="K78" t="s">
        <v>83</v>
      </c>
      <c r="L78" s="3">
        <f>SUM(SalesData3[Sales Amount (PKR)])</f>
        <v>11946830</v>
      </c>
    </row>
    <row r="79" spans="1:12" ht="14.25" customHeight="1" x14ac:dyDescent="0.45">
      <c r="A79" t="s">
        <v>239</v>
      </c>
      <c r="B79" s="2" t="s">
        <v>240</v>
      </c>
      <c r="C79" t="s">
        <v>89</v>
      </c>
      <c r="D79" t="s">
        <v>73</v>
      </c>
      <c r="E79" t="s">
        <v>101</v>
      </c>
      <c r="F79" t="s">
        <v>90</v>
      </c>
      <c r="G79">
        <v>1</v>
      </c>
      <c r="H79" s="3">
        <v>42200</v>
      </c>
      <c r="I79" s="3">
        <v>42200</v>
      </c>
      <c r="J79" t="s">
        <v>76</v>
      </c>
      <c r="K79" t="s">
        <v>83</v>
      </c>
      <c r="L79" s="3">
        <f>SUM(SalesData3[Sales Amount (PKR)])</f>
        <v>11946830</v>
      </c>
    </row>
    <row r="80" spans="1:12" ht="14.25" customHeight="1" x14ac:dyDescent="0.45">
      <c r="A80" t="s">
        <v>241</v>
      </c>
      <c r="B80" s="2" t="s">
        <v>242</v>
      </c>
      <c r="C80" t="s">
        <v>100</v>
      </c>
      <c r="D80" t="s">
        <v>73</v>
      </c>
      <c r="E80" t="s">
        <v>101</v>
      </c>
      <c r="F80" t="s">
        <v>90</v>
      </c>
      <c r="G80">
        <v>1</v>
      </c>
      <c r="H80" s="3">
        <v>41910</v>
      </c>
      <c r="I80" s="3">
        <v>41910</v>
      </c>
      <c r="J80" t="s">
        <v>82</v>
      </c>
      <c r="K80" t="s">
        <v>83</v>
      </c>
      <c r="L80" s="3">
        <f>SUM(SalesData3[Sales Amount (PKR)])</f>
        <v>11946830</v>
      </c>
    </row>
    <row r="81" spans="1:12" ht="14.25" customHeight="1" x14ac:dyDescent="0.45">
      <c r="A81" t="s">
        <v>243</v>
      </c>
      <c r="B81" s="2" t="s">
        <v>244</v>
      </c>
      <c r="C81" t="s">
        <v>89</v>
      </c>
      <c r="D81" t="s">
        <v>73</v>
      </c>
      <c r="E81" t="s">
        <v>101</v>
      </c>
      <c r="F81" t="s">
        <v>131</v>
      </c>
      <c r="G81">
        <v>1</v>
      </c>
      <c r="H81" s="3">
        <v>40630</v>
      </c>
      <c r="I81" s="3">
        <v>40630</v>
      </c>
      <c r="J81" t="s">
        <v>76</v>
      </c>
      <c r="K81" t="s">
        <v>77</v>
      </c>
      <c r="L81" s="3">
        <f>SUM(SalesData3[Sales Amount (PKR)])</f>
        <v>11946830</v>
      </c>
    </row>
    <row r="82" spans="1:12" ht="14.25" customHeight="1" x14ac:dyDescent="0.45">
      <c r="A82" t="s">
        <v>245</v>
      </c>
      <c r="B82" s="2" t="s">
        <v>150</v>
      </c>
      <c r="C82" t="s">
        <v>80</v>
      </c>
      <c r="D82" t="s">
        <v>196</v>
      </c>
      <c r="E82" t="s">
        <v>246</v>
      </c>
      <c r="F82" t="s">
        <v>107</v>
      </c>
      <c r="G82">
        <v>3</v>
      </c>
      <c r="H82" s="3">
        <v>13150</v>
      </c>
      <c r="I82" s="3">
        <v>39450</v>
      </c>
      <c r="J82" t="s">
        <v>82</v>
      </c>
      <c r="K82" t="s">
        <v>83</v>
      </c>
      <c r="L82" s="3">
        <f>SUM(SalesData3[Sales Amount (PKR)])</f>
        <v>11946830</v>
      </c>
    </row>
    <row r="83" spans="1:12" ht="14.25" customHeight="1" x14ac:dyDescent="0.45">
      <c r="A83" t="s">
        <v>247</v>
      </c>
      <c r="B83" s="2" t="s">
        <v>125</v>
      </c>
      <c r="C83" t="s">
        <v>96</v>
      </c>
      <c r="D83" t="s">
        <v>196</v>
      </c>
      <c r="E83" t="s">
        <v>197</v>
      </c>
      <c r="F83" t="s">
        <v>86</v>
      </c>
      <c r="G83">
        <v>2</v>
      </c>
      <c r="H83" s="3">
        <v>18980</v>
      </c>
      <c r="I83" s="3">
        <v>37960</v>
      </c>
      <c r="J83" t="s">
        <v>76</v>
      </c>
      <c r="K83" t="s">
        <v>93</v>
      </c>
      <c r="L83" s="3">
        <f>SUM(SalesData3[Sales Amount (PKR)])</f>
        <v>11946830</v>
      </c>
    </row>
    <row r="84" spans="1:12" ht="14.25" customHeight="1" x14ac:dyDescent="0.45">
      <c r="A84" t="s">
        <v>248</v>
      </c>
      <c r="B84" s="2" t="s">
        <v>249</v>
      </c>
      <c r="C84" t="s">
        <v>96</v>
      </c>
      <c r="D84" t="s">
        <v>196</v>
      </c>
      <c r="E84" t="s">
        <v>197</v>
      </c>
      <c r="F84" t="s">
        <v>140</v>
      </c>
      <c r="G84">
        <v>2</v>
      </c>
      <c r="H84" s="3">
        <v>18840</v>
      </c>
      <c r="I84" s="3">
        <v>37680</v>
      </c>
      <c r="J84" t="s">
        <v>76</v>
      </c>
      <c r="K84" t="s">
        <v>93</v>
      </c>
      <c r="L84" s="3">
        <f>SUM(SalesData3[Sales Amount (PKR)])</f>
        <v>11946830</v>
      </c>
    </row>
    <row r="85" spans="1:12" ht="14.25" customHeight="1" x14ac:dyDescent="0.45">
      <c r="A85" t="s">
        <v>250</v>
      </c>
      <c r="B85" s="2" t="s">
        <v>251</v>
      </c>
      <c r="C85" t="s">
        <v>96</v>
      </c>
      <c r="D85" t="s">
        <v>196</v>
      </c>
      <c r="E85" t="s">
        <v>197</v>
      </c>
      <c r="F85" t="s">
        <v>81</v>
      </c>
      <c r="G85">
        <v>2</v>
      </c>
      <c r="H85" s="3">
        <v>18750</v>
      </c>
      <c r="I85" s="3">
        <v>37500</v>
      </c>
      <c r="J85" t="s">
        <v>82</v>
      </c>
      <c r="K85" t="s">
        <v>93</v>
      </c>
      <c r="L85" s="3">
        <f>SUM(SalesData3[Sales Amount (PKR)])</f>
        <v>11946830</v>
      </c>
    </row>
    <row r="86" spans="1:12" ht="14.25" customHeight="1" x14ac:dyDescent="0.45">
      <c r="A86" t="s">
        <v>252</v>
      </c>
      <c r="B86" s="2" t="s">
        <v>253</v>
      </c>
      <c r="C86" t="s">
        <v>80</v>
      </c>
      <c r="D86" t="s">
        <v>196</v>
      </c>
      <c r="E86" t="s">
        <v>197</v>
      </c>
      <c r="F86" t="s">
        <v>131</v>
      </c>
      <c r="G86">
        <v>2</v>
      </c>
      <c r="H86" s="3">
        <v>18580</v>
      </c>
      <c r="I86" s="3">
        <v>37160</v>
      </c>
      <c r="J86" t="s">
        <v>82</v>
      </c>
      <c r="K86" t="s">
        <v>93</v>
      </c>
      <c r="L86" s="3">
        <f>SUM(SalesData3[Sales Amount (PKR)])</f>
        <v>11946830</v>
      </c>
    </row>
    <row r="87" spans="1:12" ht="14.25" customHeight="1" x14ac:dyDescent="0.45">
      <c r="A87" t="s">
        <v>254</v>
      </c>
      <c r="B87" s="2" t="s">
        <v>164</v>
      </c>
      <c r="C87" t="s">
        <v>89</v>
      </c>
      <c r="D87" t="s">
        <v>196</v>
      </c>
      <c r="E87" t="s">
        <v>197</v>
      </c>
      <c r="F87" t="s">
        <v>140</v>
      </c>
      <c r="G87">
        <v>2</v>
      </c>
      <c r="H87" s="3">
        <v>18510</v>
      </c>
      <c r="I87" s="3">
        <v>37020</v>
      </c>
      <c r="J87" t="s">
        <v>76</v>
      </c>
      <c r="K87" t="s">
        <v>93</v>
      </c>
      <c r="L87" s="3">
        <f>SUM(SalesData3[Sales Amount (PKR)])</f>
        <v>11946830</v>
      </c>
    </row>
    <row r="88" spans="1:12" ht="14.25" customHeight="1" x14ac:dyDescent="0.45">
      <c r="A88" t="s">
        <v>255</v>
      </c>
      <c r="B88" s="2" t="s">
        <v>256</v>
      </c>
      <c r="C88" t="s">
        <v>100</v>
      </c>
      <c r="D88" t="s">
        <v>196</v>
      </c>
      <c r="E88" t="s">
        <v>197</v>
      </c>
      <c r="F88" t="s">
        <v>86</v>
      </c>
      <c r="G88">
        <v>2</v>
      </c>
      <c r="H88" s="3">
        <v>18290</v>
      </c>
      <c r="I88" s="3">
        <v>36580</v>
      </c>
      <c r="J88" t="s">
        <v>76</v>
      </c>
      <c r="K88" t="s">
        <v>83</v>
      </c>
      <c r="L88" s="3">
        <f>SUM(SalesData3[Sales Amount (PKR)])</f>
        <v>11946830</v>
      </c>
    </row>
    <row r="89" spans="1:12" ht="14.25" customHeight="1" x14ac:dyDescent="0.45">
      <c r="A89" t="s">
        <v>257</v>
      </c>
      <c r="B89" s="2" t="s">
        <v>258</v>
      </c>
      <c r="C89" t="s">
        <v>96</v>
      </c>
      <c r="D89" t="s">
        <v>196</v>
      </c>
      <c r="E89" t="s">
        <v>197</v>
      </c>
      <c r="F89" t="s">
        <v>131</v>
      </c>
      <c r="G89">
        <v>2</v>
      </c>
      <c r="H89" s="3">
        <v>17940</v>
      </c>
      <c r="I89" s="3">
        <v>35880</v>
      </c>
      <c r="J89" t="s">
        <v>76</v>
      </c>
      <c r="K89" t="s">
        <v>77</v>
      </c>
      <c r="L89" s="3">
        <f>SUM(SalesData3[Sales Amount (PKR)])</f>
        <v>11946830</v>
      </c>
    </row>
    <row r="90" spans="1:12" ht="14.25" customHeight="1" x14ac:dyDescent="0.45">
      <c r="A90" t="s">
        <v>259</v>
      </c>
      <c r="B90" s="2" t="s">
        <v>223</v>
      </c>
      <c r="C90" t="s">
        <v>96</v>
      </c>
      <c r="D90" t="s">
        <v>196</v>
      </c>
      <c r="E90" t="s">
        <v>197</v>
      </c>
      <c r="F90" t="s">
        <v>75</v>
      </c>
      <c r="G90">
        <v>2</v>
      </c>
      <c r="H90" s="3">
        <v>17910</v>
      </c>
      <c r="I90" s="3">
        <v>35820</v>
      </c>
      <c r="J90" t="s">
        <v>82</v>
      </c>
      <c r="K90" t="s">
        <v>83</v>
      </c>
      <c r="L90" s="3">
        <f>SUM(SalesData3[Sales Amount (PKR)])</f>
        <v>11946830</v>
      </c>
    </row>
    <row r="91" spans="1:12" ht="14.25" customHeight="1" x14ac:dyDescent="0.45">
      <c r="A91" t="s">
        <v>260</v>
      </c>
      <c r="B91" s="2" t="s">
        <v>261</v>
      </c>
      <c r="C91" t="s">
        <v>100</v>
      </c>
      <c r="D91" t="s">
        <v>196</v>
      </c>
      <c r="E91" t="s">
        <v>214</v>
      </c>
      <c r="F91" t="s">
        <v>131</v>
      </c>
      <c r="G91">
        <v>2</v>
      </c>
      <c r="H91" s="3">
        <v>15530</v>
      </c>
      <c r="I91" s="3">
        <v>31060</v>
      </c>
      <c r="J91" t="s">
        <v>76</v>
      </c>
      <c r="K91" t="s">
        <v>93</v>
      </c>
      <c r="L91" s="3">
        <f>SUM(SalesData3[Sales Amount (PKR)])</f>
        <v>11946830</v>
      </c>
    </row>
    <row r="92" spans="1:12" ht="14.25" customHeight="1" x14ac:dyDescent="0.45">
      <c r="A92" t="s">
        <v>262</v>
      </c>
      <c r="B92" s="2" t="s">
        <v>109</v>
      </c>
      <c r="C92" t="s">
        <v>80</v>
      </c>
      <c r="D92" t="s">
        <v>196</v>
      </c>
      <c r="E92" t="s">
        <v>214</v>
      </c>
      <c r="F92" t="s">
        <v>90</v>
      </c>
      <c r="G92">
        <v>2</v>
      </c>
      <c r="H92" s="3">
        <v>15460</v>
      </c>
      <c r="I92" s="3">
        <v>30920</v>
      </c>
      <c r="J92" t="s">
        <v>82</v>
      </c>
      <c r="K92" t="s">
        <v>77</v>
      </c>
      <c r="L92" s="3">
        <f>SUM(SalesData3[Sales Amount (PKR)])</f>
        <v>11946830</v>
      </c>
    </row>
    <row r="93" spans="1:12" ht="14.25" customHeight="1" x14ac:dyDescent="0.45">
      <c r="A93" t="s">
        <v>263</v>
      </c>
      <c r="B93" s="2" t="s">
        <v>264</v>
      </c>
      <c r="C93" t="s">
        <v>100</v>
      </c>
      <c r="D93" t="s">
        <v>196</v>
      </c>
      <c r="E93" t="s">
        <v>214</v>
      </c>
      <c r="F93" t="s">
        <v>97</v>
      </c>
      <c r="G93">
        <v>2</v>
      </c>
      <c r="H93" s="3">
        <v>15420</v>
      </c>
      <c r="I93" s="3">
        <v>30840</v>
      </c>
      <c r="J93" t="s">
        <v>82</v>
      </c>
      <c r="K93" t="s">
        <v>83</v>
      </c>
      <c r="L93" s="3">
        <f>SUM(SalesData3[Sales Amount (PKR)])</f>
        <v>11946830</v>
      </c>
    </row>
    <row r="94" spans="1:12" ht="14.25" customHeight="1" x14ac:dyDescent="0.45">
      <c r="A94" t="s">
        <v>265</v>
      </c>
      <c r="B94" s="2" t="s">
        <v>183</v>
      </c>
      <c r="C94" t="s">
        <v>80</v>
      </c>
      <c r="D94" t="s">
        <v>196</v>
      </c>
      <c r="E94" t="s">
        <v>214</v>
      </c>
      <c r="F94" t="s">
        <v>75</v>
      </c>
      <c r="G94">
        <v>2</v>
      </c>
      <c r="H94" s="3">
        <v>15310</v>
      </c>
      <c r="I94" s="3">
        <v>30620</v>
      </c>
      <c r="J94" t="s">
        <v>76</v>
      </c>
      <c r="K94" t="s">
        <v>93</v>
      </c>
      <c r="L94" s="3">
        <f>SUM(SalesData3[Sales Amount (PKR)])</f>
        <v>11946830</v>
      </c>
    </row>
    <row r="95" spans="1:12" ht="14.25" customHeight="1" x14ac:dyDescent="0.45">
      <c r="A95" t="s">
        <v>266</v>
      </c>
      <c r="B95" s="2" t="s">
        <v>156</v>
      </c>
      <c r="C95" t="s">
        <v>96</v>
      </c>
      <c r="D95" t="s">
        <v>196</v>
      </c>
      <c r="E95" t="s">
        <v>214</v>
      </c>
      <c r="F95" t="s">
        <v>123</v>
      </c>
      <c r="G95">
        <v>2</v>
      </c>
      <c r="H95" s="3">
        <v>15270</v>
      </c>
      <c r="I95" s="3">
        <v>30540</v>
      </c>
      <c r="J95" t="s">
        <v>82</v>
      </c>
      <c r="K95" t="s">
        <v>93</v>
      </c>
      <c r="L95" s="3">
        <f>SUM(SalesData3[Sales Amount (PKR)])</f>
        <v>11946830</v>
      </c>
    </row>
    <row r="96" spans="1:12" ht="14.25" customHeight="1" x14ac:dyDescent="0.45">
      <c r="A96" t="s">
        <v>267</v>
      </c>
      <c r="B96" s="2" t="s">
        <v>164</v>
      </c>
      <c r="C96" t="s">
        <v>96</v>
      </c>
      <c r="D96" t="s">
        <v>196</v>
      </c>
      <c r="E96" t="s">
        <v>214</v>
      </c>
      <c r="F96" t="s">
        <v>131</v>
      </c>
      <c r="G96">
        <v>2</v>
      </c>
      <c r="H96" s="3">
        <v>15010</v>
      </c>
      <c r="I96" s="3">
        <v>30020</v>
      </c>
      <c r="J96" t="s">
        <v>76</v>
      </c>
      <c r="K96" t="s">
        <v>93</v>
      </c>
      <c r="L96" s="3">
        <f>SUM(SalesData3[Sales Amount (PKR)])</f>
        <v>11946830</v>
      </c>
    </row>
    <row r="97" spans="1:12" ht="14.25" customHeight="1" x14ac:dyDescent="0.45">
      <c r="A97" t="s">
        <v>268</v>
      </c>
      <c r="B97" s="2" t="s">
        <v>269</v>
      </c>
      <c r="C97" t="s">
        <v>72</v>
      </c>
      <c r="D97" t="s">
        <v>196</v>
      </c>
      <c r="E97" t="s">
        <v>246</v>
      </c>
      <c r="F97" t="s">
        <v>90</v>
      </c>
      <c r="G97">
        <v>2</v>
      </c>
      <c r="H97" s="3">
        <v>14010</v>
      </c>
      <c r="I97" s="3">
        <v>28020</v>
      </c>
      <c r="J97" t="s">
        <v>76</v>
      </c>
      <c r="K97" t="s">
        <v>93</v>
      </c>
      <c r="L97" s="3">
        <f>SUM(SalesData3[Sales Amount (PKR)])</f>
        <v>11946830</v>
      </c>
    </row>
    <row r="98" spans="1:12" ht="14.25" customHeight="1" x14ac:dyDescent="0.45">
      <c r="A98" t="s">
        <v>270</v>
      </c>
      <c r="B98" s="2" t="s">
        <v>271</v>
      </c>
      <c r="C98" t="s">
        <v>89</v>
      </c>
      <c r="D98" t="s">
        <v>196</v>
      </c>
      <c r="E98" t="s">
        <v>246</v>
      </c>
      <c r="F98" t="s">
        <v>86</v>
      </c>
      <c r="G98">
        <v>2</v>
      </c>
      <c r="H98" s="3">
        <v>13960</v>
      </c>
      <c r="I98" s="3">
        <v>27920</v>
      </c>
      <c r="J98" t="s">
        <v>82</v>
      </c>
      <c r="K98" t="s">
        <v>83</v>
      </c>
      <c r="L98" s="3">
        <f>SUM(SalesData3[Sales Amount (PKR)])</f>
        <v>11946830</v>
      </c>
    </row>
    <row r="99" spans="1:12" ht="14.25" customHeight="1" x14ac:dyDescent="0.45">
      <c r="A99" t="s">
        <v>272</v>
      </c>
      <c r="B99" s="2" t="s">
        <v>271</v>
      </c>
      <c r="C99" t="s">
        <v>96</v>
      </c>
      <c r="D99" t="s">
        <v>196</v>
      </c>
      <c r="E99" t="s">
        <v>246</v>
      </c>
      <c r="F99" t="s">
        <v>117</v>
      </c>
      <c r="G99">
        <v>2</v>
      </c>
      <c r="H99" s="3">
        <v>13900</v>
      </c>
      <c r="I99" s="3">
        <v>27800</v>
      </c>
      <c r="J99" t="s">
        <v>76</v>
      </c>
      <c r="K99" t="s">
        <v>83</v>
      </c>
      <c r="L99" s="3">
        <f>SUM(SalesData3[Sales Amount (PKR)])</f>
        <v>11946830</v>
      </c>
    </row>
    <row r="100" spans="1:12" ht="14.25" customHeight="1" x14ac:dyDescent="0.45">
      <c r="A100" t="s">
        <v>273</v>
      </c>
      <c r="B100" s="2" t="s">
        <v>95</v>
      </c>
      <c r="C100" t="s">
        <v>96</v>
      </c>
      <c r="D100" t="s">
        <v>196</v>
      </c>
      <c r="E100" t="s">
        <v>246</v>
      </c>
      <c r="F100" t="s">
        <v>97</v>
      </c>
      <c r="G100">
        <v>2</v>
      </c>
      <c r="H100" s="3">
        <v>13820</v>
      </c>
      <c r="I100" s="3">
        <v>27640</v>
      </c>
      <c r="J100" t="s">
        <v>82</v>
      </c>
      <c r="K100" t="s">
        <v>93</v>
      </c>
      <c r="L100" s="3">
        <f>SUM(SalesData3[Sales Amount (PKR)])</f>
        <v>11946830</v>
      </c>
    </row>
    <row r="101" spans="1:12" ht="14.25" customHeight="1" x14ac:dyDescent="0.45">
      <c r="A101" t="s">
        <v>274</v>
      </c>
      <c r="B101" s="2" t="s">
        <v>175</v>
      </c>
      <c r="C101" t="s">
        <v>100</v>
      </c>
      <c r="D101" t="s">
        <v>196</v>
      </c>
      <c r="E101" t="s">
        <v>246</v>
      </c>
      <c r="F101" t="s">
        <v>107</v>
      </c>
      <c r="G101">
        <v>2</v>
      </c>
      <c r="H101" s="3">
        <v>13720</v>
      </c>
      <c r="I101" s="3">
        <v>27440</v>
      </c>
      <c r="J101" t="s">
        <v>82</v>
      </c>
      <c r="K101" t="s">
        <v>83</v>
      </c>
      <c r="L101" s="3">
        <f>SUM(SalesData3[Sales Amount (PKR)])</f>
        <v>11946830</v>
      </c>
    </row>
    <row r="102" spans="1:12" ht="14.25" customHeight="1" x14ac:dyDescent="0.45">
      <c r="A102" t="s">
        <v>275</v>
      </c>
      <c r="B102" s="2" t="s">
        <v>276</v>
      </c>
      <c r="C102" t="s">
        <v>89</v>
      </c>
      <c r="D102" t="s">
        <v>196</v>
      </c>
      <c r="E102" t="s">
        <v>246</v>
      </c>
      <c r="F102" t="s">
        <v>81</v>
      </c>
      <c r="G102">
        <v>2</v>
      </c>
      <c r="H102" s="3">
        <v>13340</v>
      </c>
      <c r="I102" s="3">
        <v>26680</v>
      </c>
      <c r="J102" t="s">
        <v>76</v>
      </c>
      <c r="K102" t="s">
        <v>83</v>
      </c>
      <c r="L102" s="3">
        <f>SUM(SalesData3[Sales Amount (PKR)])</f>
        <v>11946830</v>
      </c>
    </row>
    <row r="103" spans="1:12" ht="14.25" customHeight="1" x14ac:dyDescent="0.45">
      <c r="A103" t="s">
        <v>277</v>
      </c>
      <c r="B103" s="2" t="s">
        <v>278</v>
      </c>
      <c r="C103" t="s">
        <v>89</v>
      </c>
      <c r="D103" t="s">
        <v>196</v>
      </c>
      <c r="E103" t="s">
        <v>246</v>
      </c>
      <c r="F103" t="s">
        <v>86</v>
      </c>
      <c r="G103">
        <v>2</v>
      </c>
      <c r="H103" s="3">
        <v>13260</v>
      </c>
      <c r="I103" s="3">
        <v>26520</v>
      </c>
      <c r="J103" t="s">
        <v>82</v>
      </c>
      <c r="K103" t="s">
        <v>77</v>
      </c>
      <c r="L103" s="3">
        <f>SUM(SalesData3[Sales Amount (PKR)])</f>
        <v>11946830</v>
      </c>
    </row>
    <row r="104" spans="1:12" ht="14.25" customHeight="1" x14ac:dyDescent="0.45">
      <c r="A104" t="s">
        <v>279</v>
      </c>
      <c r="B104" s="2" t="s">
        <v>71</v>
      </c>
      <c r="C104" t="s">
        <v>89</v>
      </c>
      <c r="D104" t="s">
        <v>196</v>
      </c>
      <c r="E104" t="s">
        <v>246</v>
      </c>
      <c r="F104" t="s">
        <v>81</v>
      </c>
      <c r="G104">
        <v>2</v>
      </c>
      <c r="H104" s="3">
        <v>13140</v>
      </c>
      <c r="I104" s="3">
        <v>26280</v>
      </c>
      <c r="J104" t="s">
        <v>76</v>
      </c>
      <c r="K104" t="s">
        <v>83</v>
      </c>
      <c r="L104" s="3">
        <f>SUM(SalesData3[Sales Amount (PKR)])</f>
        <v>11946830</v>
      </c>
    </row>
    <row r="105" spans="1:12" ht="14.25" customHeight="1" x14ac:dyDescent="0.45">
      <c r="A105" t="s">
        <v>280</v>
      </c>
      <c r="B105" s="2" t="s">
        <v>281</v>
      </c>
      <c r="C105" t="s">
        <v>96</v>
      </c>
      <c r="D105" t="s">
        <v>196</v>
      </c>
      <c r="E105" t="s">
        <v>246</v>
      </c>
      <c r="F105" t="s">
        <v>131</v>
      </c>
      <c r="G105">
        <v>2</v>
      </c>
      <c r="H105" s="3">
        <v>13130</v>
      </c>
      <c r="I105" s="3">
        <v>26260</v>
      </c>
      <c r="J105" t="s">
        <v>82</v>
      </c>
      <c r="K105" t="s">
        <v>93</v>
      </c>
      <c r="L105" s="3">
        <f>SUM(SalesData3[Sales Amount (PKR)])</f>
        <v>11946830</v>
      </c>
    </row>
    <row r="106" spans="1:12" ht="14.25" customHeight="1" x14ac:dyDescent="0.45">
      <c r="A106" t="s">
        <v>282</v>
      </c>
      <c r="B106" s="2" t="s">
        <v>283</v>
      </c>
      <c r="C106" t="s">
        <v>80</v>
      </c>
      <c r="D106" t="s">
        <v>196</v>
      </c>
      <c r="E106" t="s">
        <v>246</v>
      </c>
      <c r="F106" t="s">
        <v>123</v>
      </c>
      <c r="G106">
        <v>2</v>
      </c>
      <c r="H106" s="3">
        <v>13090</v>
      </c>
      <c r="I106" s="3">
        <v>26180</v>
      </c>
      <c r="J106" t="s">
        <v>82</v>
      </c>
      <c r="K106" t="s">
        <v>83</v>
      </c>
      <c r="L106" s="3">
        <f>SUM(SalesData3[Sales Amount (PKR)])</f>
        <v>11946830</v>
      </c>
    </row>
    <row r="107" spans="1:12" ht="14.25" customHeight="1" x14ac:dyDescent="0.45">
      <c r="A107" t="s">
        <v>284</v>
      </c>
      <c r="B107" s="2" t="s">
        <v>137</v>
      </c>
      <c r="C107" t="s">
        <v>100</v>
      </c>
      <c r="D107" t="s">
        <v>196</v>
      </c>
      <c r="E107" t="s">
        <v>246</v>
      </c>
      <c r="F107" t="s">
        <v>140</v>
      </c>
      <c r="G107">
        <v>2</v>
      </c>
      <c r="H107" s="3">
        <v>13090</v>
      </c>
      <c r="I107" s="3">
        <v>26180</v>
      </c>
      <c r="J107" t="s">
        <v>76</v>
      </c>
      <c r="K107" t="s">
        <v>93</v>
      </c>
      <c r="L107" s="3">
        <f>SUM(SalesData3[Sales Amount (PKR)])</f>
        <v>11946830</v>
      </c>
    </row>
    <row r="108" spans="1:12" ht="14.25" customHeight="1" x14ac:dyDescent="0.45">
      <c r="A108" t="s">
        <v>285</v>
      </c>
      <c r="B108" s="2" t="s">
        <v>109</v>
      </c>
      <c r="C108" t="s">
        <v>96</v>
      </c>
      <c r="D108" t="s">
        <v>196</v>
      </c>
      <c r="E108" t="s">
        <v>246</v>
      </c>
      <c r="F108" t="s">
        <v>97</v>
      </c>
      <c r="G108">
        <v>2</v>
      </c>
      <c r="H108" s="3">
        <v>12970</v>
      </c>
      <c r="I108" s="3">
        <v>25940</v>
      </c>
      <c r="J108" t="s">
        <v>76</v>
      </c>
      <c r="K108" t="s">
        <v>83</v>
      </c>
      <c r="L108" s="3">
        <f>SUM(SalesData3[Sales Amount (PKR)])</f>
        <v>11946830</v>
      </c>
    </row>
    <row r="109" spans="1:12" ht="14.25" customHeight="1" x14ac:dyDescent="0.45">
      <c r="A109" t="s">
        <v>286</v>
      </c>
      <c r="B109" s="2" t="s">
        <v>133</v>
      </c>
      <c r="C109" t="s">
        <v>80</v>
      </c>
      <c r="D109" t="s">
        <v>73</v>
      </c>
      <c r="E109" t="s">
        <v>211</v>
      </c>
      <c r="F109" t="s">
        <v>140</v>
      </c>
      <c r="G109">
        <v>2</v>
      </c>
      <c r="H109" s="3">
        <v>12030</v>
      </c>
      <c r="I109" s="3">
        <v>24060</v>
      </c>
      <c r="J109" t="s">
        <v>82</v>
      </c>
      <c r="K109" t="s">
        <v>83</v>
      </c>
      <c r="L109" s="3">
        <f>SUM(SalesData3[Sales Amount (PKR)])</f>
        <v>11946830</v>
      </c>
    </row>
    <row r="110" spans="1:12" ht="14.25" customHeight="1" x14ac:dyDescent="0.45">
      <c r="A110" t="s">
        <v>287</v>
      </c>
      <c r="B110" s="2" t="s">
        <v>251</v>
      </c>
      <c r="C110" t="s">
        <v>100</v>
      </c>
      <c r="D110" t="s">
        <v>73</v>
      </c>
      <c r="E110" t="s">
        <v>211</v>
      </c>
      <c r="F110" t="s">
        <v>86</v>
      </c>
      <c r="G110">
        <v>2</v>
      </c>
      <c r="H110" s="3">
        <v>11910</v>
      </c>
      <c r="I110" s="3">
        <v>23820</v>
      </c>
      <c r="J110" t="s">
        <v>82</v>
      </c>
      <c r="K110" t="s">
        <v>77</v>
      </c>
      <c r="L110" s="3">
        <f>SUM(SalesData3[Sales Amount (PKR)])</f>
        <v>11946830</v>
      </c>
    </row>
    <row r="111" spans="1:12" ht="14.25" customHeight="1" x14ac:dyDescent="0.45">
      <c r="A111" t="s">
        <v>288</v>
      </c>
      <c r="B111" s="2" t="s">
        <v>289</v>
      </c>
      <c r="C111" t="s">
        <v>100</v>
      </c>
      <c r="D111" t="s">
        <v>73</v>
      </c>
      <c r="E111" t="s">
        <v>211</v>
      </c>
      <c r="F111" t="s">
        <v>81</v>
      </c>
      <c r="G111">
        <v>2</v>
      </c>
      <c r="H111" s="3">
        <v>11780</v>
      </c>
      <c r="I111" s="3">
        <v>23560</v>
      </c>
      <c r="J111" t="s">
        <v>76</v>
      </c>
      <c r="K111" t="s">
        <v>83</v>
      </c>
      <c r="L111" s="3">
        <f>SUM(SalesData3[Sales Amount (PKR)])</f>
        <v>11946830</v>
      </c>
    </row>
    <row r="112" spans="1:12" ht="14.25" customHeight="1" x14ac:dyDescent="0.45">
      <c r="A112" t="s">
        <v>290</v>
      </c>
      <c r="B112" s="2" t="s">
        <v>291</v>
      </c>
      <c r="C112" t="s">
        <v>80</v>
      </c>
      <c r="D112" t="s">
        <v>73</v>
      </c>
      <c r="E112" t="s">
        <v>211</v>
      </c>
      <c r="F112" t="s">
        <v>123</v>
      </c>
      <c r="G112">
        <v>2</v>
      </c>
      <c r="H112" s="3">
        <v>11530</v>
      </c>
      <c r="I112" s="3">
        <v>23060</v>
      </c>
      <c r="J112" t="s">
        <v>76</v>
      </c>
      <c r="K112" t="s">
        <v>93</v>
      </c>
      <c r="L112" s="3">
        <f>SUM(SalesData3[Sales Amount (PKR)])</f>
        <v>11946830</v>
      </c>
    </row>
    <row r="113" spans="1:12" ht="14.25" customHeight="1" x14ac:dyDescent="0.45">
      <c r="A113" t="s">
        <v>292</v>
      </c>
      <c r="B113" s="2" t="s">
        <v>162</v>
      </c>
      <c r="C113" t="s">
        <v>80</v>
      </c>
      <c r="D113" t="s">
        <v>196</v>
      </c>
      <c r="E113" t="s">
        <v>197</v>
      </c>
      <c r="F113" t="s">
        <v>107</v>
      </c>
      <c r="G113">
        <v>1</v>
      </c>
      <c r="H113" s="3">
        <v>19190</v>
      </c>
      <c r="I113" s="3">
        <v>19190</v>
      </c>
      <c r="J113" t="s">
        <v>82</v>
      </c>
      <c r="K113" t="s">
        <v>83</v>
      </c>
      <c r="L113" s="3">
        <f>SUM(SalesData3[Sales Amount (PKR)])</f>
        <v>11946830</v>
      </c>
    </row>
    <row r="114" spans="1:12" ht="14.25" customHeight="1" x14ac:dyDescent="0.45">
      <c r="A114" t="s">
        <v>293</v>
      </c>
      <c r="B114" s="2" t="s">
        <v>231</v>
      </c>
      <c r="C114" t="s">
        <v>89</v>
      </c>
      <c r="D114" t="s">
        <v>196</v>
      </c>
      <c r="E114" t="s">
        <v>197</v>
      </c>
      <c r="F114" t="s">
        <v>97</v>
      </c>
      <c r="G114">
        <v>1</v>
      </c>
      <c r="H114" s="3">
        <v>19000</v>
      </c>
      <c r="I114" s="3">
        <v>19000</v>
      </c>
      <c r="J114" t="s">
        <v>76</v>
      </c>
      <c r="K114" t="s">
        <v>77</v>
      </c>
      <c r="L114" s="3">
        <f>SUM(SalesData3[Sales Amount (PKR)])</f>
        <v>11946830</v>
      </c>
    </row>
    <row r="115" spans="1:12" ht="14.25" customHeight="1" x14ac:dyDescent="0.45">
      <c r="A115" t="s">
        <v>294</v>
      </c>
      <c r="B115" s="2" t="s">
        <v>295</v>
      </c>
      <c r="C115" t="s">
        <v>96</v>
      </c>
      <c r="D115" t="s">
        <v>196</v>
      </c>
      <c r="E115" t="s">
        <v>197</v>
      </c>
      <c r="F115" t="s">
        <v>81</v>
      </c>
      <c r="G115">
        <v>1</v>
      </c>
      <c r="H115" s="3">
        <v>18960</v>
      </c>
      <c r="I115" s="3">
        <v>18960</v>
      </c>
      <c r="J115" t="s">
        <v>76</v>
      </c>
      <c r="K115" t="s">
        <v>83</v>
      </c>
      <c r="L115" s="3">
        <f>SUM(SalesData3[Sales Amount (PKR)])</f>
        <v>11946830</v>
      </c>
    </row>
    <row r="116" spans="1:12" ht="14.25" customHeight="1" x14ac:dyDescent="0.45">
      <c r="A116" t="s">
        <v>296</v>
      </c>
      <c r="B116" s="2" t="s">
        <v>175</v>
      </c>
      <c r="C116" t="s">
        <v>80</v>
      </c>
      <c r="D116" t="s">
        <v>196</v>
      </c>
      <c r="E116" t="s">
        <v>197</v>
      </c>
      <c r="F116" t="s">
        <v>90</v>
      </c>
      <c r="G116">
        <v>1</v>
      </c>
      <c r="H116" s="3">
        <v>18950</v>
      </c>
      <c r="I116" s="3">
        <v>18950</v>
      </c>
      <c r="J116" t="s">
        <v>76</v>
      </c>
      <c r="K116" t="s">
        <v>77</v>
      </c>
      <c r="L116" s="3">
        <f>SUM(SalesData3[Sales Amount (PKR)])</f>
        <v>11946830</v>
      </c>
    </row>
    <row r="117" spans="1:12" ht="14.25" customHeight="1" x14ac:dyDescent="0.45">
      <c r="A117" t="s">
        <v>297</v>
      </c>
      <c r="B117" s="2" t="s">
        <v>298</v>
      </c>
      <c r="C117" t="s">
        <v>100</v>
      </c>
      <c r="D117" t="s">
        <v>196</v>
      </c>
      <c r="E117" t="s">
        <v>197</v>
      </c>
      <c r="F117" t="s">
        <v>90</v>
      </c>
      <c r="G117">
        <v>1</v>
      </c>
      <c r="H117" s="3">
        <v>18810</v>
      </c>
      <c r="I117" s="3">
        <v>18810</v>
      </c>
      <c r="J117" t="s">
        <v>76</v>
      </c>
      <c r="K117" t="s">
        <v>83</v>
      </c>
      <c r="L117" s="3">
        <f>SUM(SalesData3[Sales Amount (PKR)])</f>
        <v>11946830</v>
      </c>
    </row>
    <row r="118" spans="1:12" ht="14.25" customHeight="1" x14ac:dyDescent="0.45">
      <c r="A118" t="s">
        <v>299</v>
      </c>
      <c r="B118" s="2" t="s">
        <v>253</v>
      </c>
      <c r="C118" t="s">
        <v>89</v>
      </c>
      <c r="D118" t="s">
        <v>196</v>
      </c>
      <c r="E118" t="s">
        <v>300</v>
      </c>
      <c r="F118" t="s">
        <v>140</v>
      </c>
      <c r="G118">
        <v>4</v>
      </c>
      <c r="H118" s="3">
        <v>4680</v>
      </c>
      <c r="I118" s="3">
        <v>18720</v>
      </c>
      <c r="J118" t="s">
        <v>82</v>
      </c>
      <c r="K118" t="s">
        <v>83</v>
      </c>
      <c r="L118" s="3">
        <f>SUM(SalesData3[Sales Amount (PKR)])</f>
        <v>11946830</v>
      </c>
    </row>
    <row r="119" spans="1:12" ht="14.25" customHeight="1" x14ac:dyDescent="0.45">
      <c r="A119" t="s">
        <v>301</v>
      </c>
      <c r="B119" s="2" t="s">
        <v>169</v>
      </c>
      <c r="C119" t="s">
        <v>100</v>
      </c>
      <c r="D119" t="s">
        <v>196</v>
      </c>
      <c r="E119" t="s">
        <v>197</v>
      </c>
      <c r="F119" t="s">
        <v>81</v>
      </c>
      <c r="G119">
        <v>1</v>
      </c>
      <c r="H119" s="3">
        <v>18700</v>
      </c>
      <c r="I119" s="3">
        <v>18700</v>
      </c>
      <c r="J119" t="s">
        <v>76</v>
      </c>
      <c r="K119" t="s">
        <v>83</v>
      </c>
      <c r="L119" s="3">
        <f>SUM(SalesData3[Sales Amount (PKR)])</f>
        <v>11946830</v>
      </c>
    </row>
    <row r="120" spans="1:12" ht="14.25" customHeight="1" x14ac:dyDescent="0.45">
      <c r="A120" t="s">
        <v>302</v>
      </c>
      <c r="B120" s="2" t="s">
        <v>303</v>
      </c>
      <c r="C120" t="s">
        <v>96</v>
      </c>
      <c r="D120" t="s">
        <v>196</v>
      </c>
      <c r="E120" t="s">
        <v>197</v>
      </c>
      <c r="F120" t="s">
        <v>81</v>
      </c>
      <c r="G120">
        <v>1</v>
      </c>
      <c r="H120" s="3">
        <v>18590</v>
      </c>
      <c r="I120" s="3">
        <v>18590</v>
      </c>
      <c r="J120" t="s">
        <v>76</v>
      </c>
      <c r="K120" t="s">
        <v>93</v>
      </c>
      <c r="L120" s="3">
        <f>SUM(SalesData3[Sales Amount (PKR)])</f>
        <v>11946830</v>
      </c>
    </row>
    <row r="121" spans="1:12" ht="14.25" customHeight="1" x14ac:dyDescent="0.45">
      <c r="A121" t="s">
        <v>304</v>
      </c>
      <c r="B121" s="2" t="s">
        <v>305</v>
      </c>
      <c r="C121" t="s">
        <v>100</v>
      </c>
      <c r="D121" t="s">
        <v>196</v>
      </c>
      <c r="E121" t="s">
        <v>197</v>
      </c>
      <c r="F121" t="s">
        <v>140</v>
      </c>
      <c r="G121">
        <v>1</v>
      </c>
      <c r="H121" s="3">
        <v>18570</v>
      </c>
      <c r="I121" s="3">
        <v>18570</v>
      </c>
      <c r="J121" t="s">
        <v>82</v>
      </c>
      <c r="K121" t="s">
        <v>83</v>
      </c>
      <c r="L121" s="3">
        <f>SUM(SalesData3[Sales Amount (PKR)])</f>
        <v>11946830</v>
      </c>
    </row>
    <row r="122" spans="1:12" ht="14.25" customHeight="1" x14ac:dyDescent="0.45">
      <c r="A122" t="s">
        <v>306</v>
      </c>
      <c r="B122" s="2" t="s">
        <v>307</v>
      </c>
      <c r="C122" t="s">
        <v>96</v>
      </c>
      <c r="D122" t="s">
        <v>196</v>
      </c>
      <c r="E122" t="s">
        <v>197</v>
      </c>
      <c r="F122" t="s">
        <v>123</v>
      </c>
      <c r="G122">
        <v>1</v>
      </c>
      <c r="H122" s="3">
        <v>18490</v>
      </c>
      <c r="I122" s="3">
        <v>18490</v>
      </c>
      <c r="J122" t="s">
        <v>76</v>
      </c>
      <c r="K122" t="s">
        <v>83</v>
      </c>
      <c r="L122" s="3">
        <f>SUM(SalesData3[Sales Amount (PKR)])</f>
        <v>11946830</v>
      </c>
    </row>
    <row r="123" spans="1:12" ht="14.25" customHeight="1" x14ac:dyDescent="0.45">
      <c r="A123" t="s">
        <v>308</v>
      </c>
      <c r="B123" s="2" t="s">
        <v>309</v>
      </c>
      <c r="C123" t="s">
        <v>100</v>
      </c>
      <c r="D123" t="s">
        <v>196</v>
      </c>
      <c r="E123" t="s">
        <v>197</v>
      </c>
      <c r="F123" t="s">
        <v>131</v>
      </c>
      <c r="G123">
        <v>1</v>
      </c>
      <c r="H123" s="3">
        <v>18430</v>
      </c>
      <c r="I123" s="3">
        <v>18430</v>
      </c>
      <c r="J123" t="s">
        <v>82</v>
      </c>
      <c r="K123" t="s">
        <v>83</v>
      </c>
      <c r="L123" s="3">
        <f>SUM(SalesData3[Sales Amount (PKR)])</f>
        <v>11946830</v>
      </c>
    </row>
    <row r="124" spans="1:12" ht="14.25" customHeight="1" x14ac:dyDescent="0.45">
      <c r="A124" t="s">
        <v>310</v>
      </c>
      <c r="B124" s="2" t="s">
        <v>311</v>
      </c>
      <c r="C124" t="s">
        <v>100</v>
      </c>
      <c r="D124" t="s">
        <v>196</v>
      </c>
      <c r="E124" t="s">
        <v>197</v>
      </c>
      <c r="F124" t="s">
        <v>140</v>
      </c>
      <c r="G124">
        <v>1</v>
      </c>
      <c r="H124" s="3">
        <v>18370</v>
      </c>
      <c r="I124" s="3">
        <v>18370</v>
      </c>
      <c r="J124" t="s">
        <v>76</v>
      </c>
      <c r="K124" t="s">
        <v>77</v>
      </c>
      <c r="L124" s="3">
        <f>SUM(SalesData3[Sales Amount (PKR)])</f>
        <v>11946830</v>
      </c>
    </row>
    <row r="125" spans="1:12" ht="14.25" customHeight="1" x14ac:dyDescent="0.45">
      <c r="A125" t="s">
        <v>312</v>
      </c>
      <c r="B125" s="2" t="s">
        <v>216</v>
      </c>
      <c r="C125" t="s">
        <v>89</v>
      </c>
      <c r="D125" t="s">
        <v>196</v>
      </c>
      <c r="E125" t="s">
        <v>197</v>
      </c>
      <c r="F125" t="s">
        <v>123</v>
      </c>
      <c r="G125">
        <v>1</v>
      </c>
      <c r="H125" s="3">
        <v>18280</v>
      </c>
      <c r="I125" s="3">
        <v>18280</v>
      </c>
      <c r="J125" t="s">
        <v>76</v>
      </c>
      <c r="K125" t="s">
        <v>77</v>
      </c>
      <c r="L125" s="3">
        <f>SUM(SalesData3[Sales Amount (PKR)])</f>
        <v>11946830</v>
      </c>
    </row>
    <row r="126" spans="1:12" ht="14.25" customHeight="1" x14ac:dyDescent="0.45">
      <c r="A126" t="s">
        <v>313</v>
      </c>
      <c r="B126" s="2" t="s">
        <v>314</v>
      </c>
      <c r="C126" t="s">
        <v>100</v>
      </c>
      <c r="D126" t="s">
        <v>196</v>
      </c>
      <c r="E126" t="s">
        <v>197</v>
      </c>
      <c r="F126" t="s">
        <v>107</v>
      </c>
      <c r="G126">
        <v>1</v>
      </c>
      <c r="H126" s="3">
        <v>18270</v>
      </c>
      <c r="I126" s="3">
        <v>18270</v>
      </c>
      <c r="J126" t="s">
        <v>76</v>
      </c>
      <c r="K126" t="s">
        <v>83</v>
      </c>
      <c r="L126" s="3">
        <f>SUM(SalesData3[Sales Amount (PKR)])</f>
        <v>11946830</v>
      </c>
    </row>
    <row r="127" spans="1:12" ht="14.25" customHeight="1" x14ac:dyDescent="0.45">
      <c r="A127" t="s">
        <v>315</v>
      </c>
      <c r="B127" s="2" t="s">
        <v>303</v>
      </c>
      <c r="C127" t="s">
        <v>80</v>
      </c>
      <c r="D127" t="s">
        <v>196</v>
      </c>
      <c r="E127" t="s">
        <v>197</v>
      </c>
      <c r="F127" t="s">
        <v>123</v>
      </c>
      <c r="G127">
        <v>1</v>
      </c>
      <c r="H127" s="3">
        <v>18130</v>
      </c>
      <c r="I127" s="3">
        <v>18130</v>
      </c>
      <c r="J127" t="s">
        <v>76</v>
      </c>
      <c r="K127" t="s">
        <v>83</v>
      </c>
      <c r="L127" s="3">
        <f>SUM(SalesData3[Sales Amount (PKR)])</f>
        <v>11946830</v>
      </c>
    </row>
    <row r="128" spans="1:12" ht="14.25" customHeight="1" x14ac:dyDescent="0.45">
      <c r="A128" t="s">
        <v>316</v>
      </c>
      <c r="B128" s="2" t="s">
        <v>278</v>
      </c>
      <c r="C128" t="s">
        <v>100</v>
      </c>
      <c r="D128" t="s">
        <v>196</v>
      </c>
      <c r="E128" t="s">
        <v>197</v>
      </c>
      <c r="F128" t="s">
        <v>90</v>
      </c>
      <c r="G128">
        <v>1</v>
      </c>
      <c r="H128" s="3">
        <v>18110</v>
      </c>
      <c r="I128" s="3">
        <v>18110</v>
      </c>
      <c r="J128" t="s">
        <v>82</v>
      </c>
      <c r="K128" t="s">
        <v>77</v>
      </c>
      <c r="L128" s="3">
        <f>SUM(SalesData3[Sales Amount (PKR)])</f>
        <v>11946830</v>
      </c>
    </row>
    <row r="129" spans="1:12" ht="14.25" customHeight="1" x14ac:dyDescent="0.45">
      <c r="A129" t="s">
        <v>317</v>
      </c>
      <c r="B129" s="2" t="s">
        <v>318</v>
      </c>
      <c r="C129" t="s">
        <v>96</v>
      </c>
      <c r="D129" t="s">
        <v>196</v>
      </c>
      <c r="E129" t="s">
        <v>197</v>
      </c>
      <c r="F129" t="s">
        <v>107</v>
      </c>
      <c r="G129">
        <v>1</v>
      </c>
      <c r="H129" s="3">
        <v>18030</v>
      </c>
      <c r="I129" s="3">
        <v>18030</v>
      </c>
      <c r="J129" t="s">
        <v>82</v>
      </c>
      <c r="K129" t="s">
        <v>93</v>
      </c>
      <c r="L129" s="3">
        <f>SUM(SalesData3[Sales Amount (PKR)])</f>
        <v>11946830</v>
      </c>
    </row>
    <row r="130" spans="1:12" ht="14.25" customHeight="1" x14ac:dyDescent="0.45">
      <c r="A130" t="s">
        <v>319</v>
      </c>
      <c r="B130" s="2" t="s">
        <v>320</v>
      </c>
      <c r="C130" t="s">
        <v>72</v>
      </c>
      <c r="D130" t="s">
        <v>196</v>
      </c>
      <c r="E130" t="s">
        <v>197</v>
      </c>
      <c r="F130" t="s">
        <v>131</v>
      </c>
      <c r="G130">
        <v>1</v>
      </c>
      <c r="H130" s="3">
        <v>17900</v>
      </c>
      <c r="I130" s="3">
        <v>17900</v>
      </c>
      <c r="J130" t="s">
        <v>76</v>
      </c>
      <c r="K130" t="s">
        <v>83</v>
      </c>
      <c r="L130" s="3">
        <f>SUM(SalesData3[Sales Amount (PKR)])</f>
        <v>11946830</v>
      </c>
    </row>
    <row r="131" spans="1:12" ht="14.25" customHeight="1" x14ac:dyDescent="0.45">
      <c r="A131" t="s">
        <v>321</v>
      </c>
      <c r="B131" s="2" t="s">
        <v>225</v>
      </c>
      <c r="C131" t="s">
        <v>100</v>
      </c>
      <c r="D131" t="s">
        <v>196</v>
      </c>
      <c r="E131" t="s">
        <v>197</v>
      </c>
      <c r="F131" t="s">
        <v>117</v>
      </c>
      <c r="G131">
        <v>1</v>
      </c>
      <c r="H131" s="3">
        <v>17900</v>
      </c>
      <c r="I131" s="3">
        <v>17900</v>
      </c>
      <c r="J131" t="s">
        <v>82</v>
      </c>
      <c r="K131" t="s">
        <v>83</v>
      </c>
      <c r="L131" s="3">
        <f>SUM(SalesData3[Sales Amount (PKR)])</f>
        <v>11946830</v>
      </c>
    </row>
    <row r="132" spans="1:12" ht="14.25" customHeight="1" x14ac:dyDescent="0.45">
      <c r="A132" t="s">
        <v>322</v>
      </c>
      <c r="B132" s="2" t="s">
        <v>154</v>
      </c>
      <c r="C132" t="s">
        <v>100</v>
      </c>
      <c r="D132" t="s">
        <v>196</v>
      </c>
      <c r="E132" t="s">
        <v>197</v>
      </c>
      <c r="F132" t="s">
        <v>75</v>
      </c>
      <c r="G132">
        <v>1</v>
      </c>
      <c r="H132" s="3">
        <v>17780</v>
      </c>
      <c r="I132" s="3">
        <v>17780</v>
      </c>
      <c r="J132" t="s">
        <v>82</v>
      </c>
      <c r="K132" t="s">
        <v>83</v>
      </c>
      <c r="L132" s="3">
        <f>SUM(SalesData3[Sales Amount (PKR)])</f>
        <v>11946830</v>
      </c>
    </row>
    <row r="133" spans="1:12" ht="14.25" customHeight="1" x14ac:dyDescent="0.45">
      <c r="A133" t="s">
        <v>323</v>
      </c>
      <c r="B133" s="2" t="s">
        <v>324</v>
      </c>
      <c r="C133" t="s">
        <v>89</v>
      </c>
      <c r="D133" t="s">
        <v>196</v>
      </c>
      <c r="E133" t="s">
        <v>214</v>
      </c>
      <c r="F133" t="s">
        <v>86</v>
      </c>
      <c r="G133">
        <v>1</v>
      </c>
      <c r="H133" s="3">
        <v>15970</v>
      </c>
      <c r="I133" s="3">
        <v>15970</v>
      </c>
      <c r="J133" t="s">
        <v>82</v>
      </c>
      <c r="K133" t="s">
        <v>83</v>
      </c>
      <c r="L133" s="3">
        <f>SUM(SalesData3[Sales Amount (PKR)])</f>
        <v>11946830</v>
      </c>
    </row>
    <row r="134" spans="1:12" ht="14.25" customHeight="1" x14ac:dyDescent="0.45">
      <c r="A134" t="s">
        <v>325</v>
      </c>
      <c r="B134" s="2" t="s">
        <v>326</v>
      </c>
      <c r="C134" t="s">
        <v>89</v>
      </c>
      <c r="D134" t="s">
        <v>196</v>
      </c>
      <c r="E134" t="s">
        <v>214</v>
      </c>
      <c r="F134" t="s">
        <v>97</v>
      </c>
      <c r="G134">
        <v>1</v>
      </c>
      <c r="H134" s="3">
        <v>15860</v>
      </c>
      <c r="I134" s="3">
        <v>15860</v>
      </c>
      <c r="J134" t="s">
        <v>76</v>
      </c>
      <c r="K134" t="s">
        <v>93</v>
      </c>
      <c r="L134" s="3">
        <f>SUM(SalesData3[Sales Amount (PKR)])</f>
        <v>11946830</v>
      </c>
    </row>
    <row r="135" spans="1:12" ht="14.25" customHeight="1" x14ac:dyDescent="0.45">
      <c r="A135" t="s">
        <v>327</v>
      </c>
      <c r="B135" s="2" t="s">
        <v>148</v>
      </c>
      <c r="C135" t="s">
        <v>96</v>
      </c>
      <c r="D135" t="s">
        <v>196</v>
      </c>
      <c r="E135" t="s">
        <v>214</v>
      </c>
      <c r="F135" t="s">
        <v>140</v>
      </c>
      <c r="G135">
        <v>1</v>
      </c>
      <c r="H135" s="3">
        <v>15820</v>
      </c>
      <c r="I135" s="3">
        <v>15820</v>
      </c>
      <c r="J135" t="s">
        <v>76</v>
      </c>
      <c r="K135" t="s">
        <v>83</v>
      </c>
      <c r="L135" s="3">
        <f>SUM(SalesData3[Sales Amount (PKR)])</f>
        <v>11946830</v>
      </c>
    </row>
    <row r="136" spans="1:12" ht="14.25" customHeight="1" x14ac:dyDescent="0.45">
      <c r="A136" t="s">
        <v>328</v>
      </c>
      <c r="B136" s="2" t="s">
        <v>329</v>
      </c>
      <c r="C136" t="s">
        <v>100</v>
      </c>
      <c r="D136" t="s">
        <v>196</v>
      </c>
      <c r="E136" t="s">
        <v>214</v>
      </c>
      <c r="F136" t="s">
        <v>131</v>
      </c>
      <c r="G136">
        <v>1</v>
      </c>
      <c r="H136" s="3">
        <v>15790</v>
      </c>
      <c r="I136" s="3">
        <v>15790</v>
      </c>
      <c r="J136" t="s">
        <v>76</v>
      </c>
      <c r="K136" t="s">
        <v>93</v>
      </c>
      <c r="L136" s="3">
        <f>SUM(SalesData3[Sales Amount (PKR)])</f>
        <v>11946830</v>
      </c>
    </row>
    <row r="137" spans="1:12" ht="14.25" customHeight="1" x14ac:dyDescent="0.45">
      <c r="A137" t="s">
        <v>330</v>
      </c>
      <c r="B137" s="2" t="s">
        <v>173</v>
      </c>
      <c r="C137" t="s">
        <v>96</v>
      </c>
      <c r="D137" t="s">
        <v>196</v>
      </c>
      <c r="E137" t="s">
        <v>214</v>
      </c>
      <c r="F137" t="s">
        <v>81</v>
      </c>
      <c r="G137">
        <v>1</v>
      </c>
      <c r="H137" s="3">
        <v>15780</v>
      </c>
      <c r="I137" s="3">
        <v>15780</v>
      </c>
      <c r="J137" t="s">
        <v>76</v>
      </c>
      <c r="K137" t="s">
        <v>93</v>
      </c>
      <c r="L137" s="3">
        <f>SUM(SalesData3[Sales Amount (PKR)])</f>
        <v>11946830</v>
      </c>
    </row>
    <row r="138" spans="1:12" ht="14.25" customHeight="1" x14ac:dyDescent="0.45">
      <c r="A138" t="s">
        <v>331</v>
      </c>
      <c r="B138" s="2" t="s">
        <v>332</v>
      </c>
      <c r="C138" t="s">
        <v>72</v>
      </c>
      <c r="D138" t="s">
        <v>196</v>
      </c>
      <c r="E138" t="s">
        <v>214</v>
      </c>
      <c r="F138" t="s">
        <v>140</v>
      </c>
      <c r="G138">
        <v>1</v>
      </c>
      <c r="H138" s="3">
        <v>15750</v>
      </c>
      <c r="I138" s="3">
        <v>15750</v>
      </c>
      <c r="J138" t="s">
        <v>82</v>
      </c>
      <c r="K138" t="s">
        <v>83</v>
      </c>
      <c r="L138" s="3">
        <f>SUM(SalesData3[Sales Amount (PKR)])</f>
        <v>11946830</v>
      </c>
    </row>
    <row r="139" spans="1:12" ht="14.25" customHeight="1" x14ac:dyDescent="0.45">
      <c r="A139" t="s">
        <v>333</v>
      </c>
      <c r="B139" s="2" t="s">
        <v>139</v>
      </c>
      <c r="C139" t="s">
        <v>89</v>
      </c>
      <c r="D139" t="s">
        <v>334</v>
      </c>
      <c r="E139" t="s">
        <v>335</v>
      </c>
      <c r="F139" t="s">
        <v>75</v>
      </c>
      <c r="G139">
        <v>4</v>
      </c>
      <c r="H139" s="3">
        <v>3930</v>
      </c>
      <c r="I139" s="3">
        <v>15720</v>
      </c>
      <c r="J139" t="s">
        <v>76</v>
      </c>
      <c r="K139" t="s">
        <v>83</v>
      </c>
      <c r="L139" s="3">
        <f>SUM(SalesData3[Sales Amount (PKR)])</f>
        <v>11946830</v>
      </c>
    </row>
    <row r="140" spans="1:12" ht="14.25" customHeight="1" x14ac:dyDescent="0.45">
      <c r="A140" t="s">
        <v>336</v>
      </c>
      <c r="B140" s="2" t="s">
        <v>337</v>
      </c>
      <c r="C140" t="s">
        <v>72</v>
      </c>
      <c r="D140" t="s">
        <v>196</v>
      </c>
      <c r="E140" t="s">
        <v>214</v>
      </c>
      <c r="F140" t="s">
        <v>123</v>
      </c>
      <c r="G140">
        <v>1</v>
      </c>
      <c r="H140" s="3">
        <v>15710</v>
      </c>
      <c r="I140" s="3">
        <v>15710</v>
      </c>
      <c r="J140" t="s">
        <v>76</v>
      </c>
      <c r="K140" t="s">
        <v>83</v>
      </c>
      <c r="L140" s="3">
        <f>SUM(SalesData3[Sales Amount (PKR)])</f>
        <v>11946830</v>
      </c>
    </row>
    <row r="141" spans="1:12" ht="14.25" customHeight="1" x14ac:dyDescent="0.45">
      <c r="A141" t="s">
        <v>338</v>
      </c>
      <c r="B141" s="2" t="s">
        <v>206</v>
      </c>
      <c r="C141" t="s">
        <v>96</v>
      </c>
      <c r="D141" t="s">
        <v>196</v>
      </c>
      <c r="E141" t="s">
        <v>214</v>
      </c>
      <c r="F141" t="s">
        <v>75</v>
      </c>
      <c r="G141">
        <v>1</v>
      </c>
      <c r="H141" s="3">
        <v>15690</v>
      </c>
      <c r="I141" s="3">
        <v>15690</v>
      </c>
      <c r="J141" t="s">
        <v>82</v>
      </c>
      <c r="K141" t="s">
        <v>83</v>
      </c>
      <c r="L141" s="3">
        <f>SUM(SalesData3[Sales Amount (PKR)])</f>
        <v>11946830</v>
      </c>
    </row>
    <row r="142" spans="1:12" ht="14.25" customHeight="1" x14ac:dyDescent="0.45">
      <c r="A142" t="s">
        <v>339</v>
      </c>
      <c r="B142" s="2" t="s">
        <v>111</v>
      </c>
      <c r="C142" t="s">
        <v>100</v>
      </c>
      <c r="D142" t="s">
        <v>196</v>
      </c>
      <c r="E142" t="s">
        <v>214</v>
      </c>
      <c r="F142" t="s">
        <v>123</v>
      </c>
      <c r="G142">
        <v>1</v>
      </c>
      <c r="H142" s="3">
        <v>15670</v>
      </c>
      <c r="I142" s="3">
        <v>15670</v>
      </c>
      <c r="J142" t="s">
        <v>76</v>
      </c>
      <c r="K142" t="s">
        <v>93</v>
      </c>
      <c r="L142" s="3">
        <f>SUM(SalesData3[Sales Amount (PKR)])</f>
        <v>11946830</v>
      </c>
    </row>
    <row r="143" spans="1:12" ht="14.25" customHeight="1" x14ac:dyDescent="0.45">
      <c r="A143" t="s">
        <v>340</v>
      </c>
      <c r="B143" s="2" t="s">
        <v>162</v>
      </c>
      <c r="C143" t="s">
        <v>89</v>
      </c>
      <c r="D143" t="s">
        <v>334</v>
      </c>
      <c r="E143" t="s">
        <v>335</v>
      </c>
      <c r="F143" t="s">
        <v>140</v>
      </c>
      <c r="G143">
        <v>4</v>
      </c>
      <c r="H143" s="3">
        <v>3910</v>
      </c>
      <c r="I143" s="3">
        <v>15640</v>
      </c>
      <c r="J143" t="s">
        <v>82</v>
      </c>
      <c r="K143" t="s">
        <v>93</v>
      </c>
      <c r="L143" s="3">
        <f>SUM(SalesData3[Sales Amount (PKR)])</f>
        <v>11946830</v>
      </c>
    </row>
    <row r="144" spans="1:12" ht="14.25" customHeight="1" x14ac:dyDescent="0.45">
      <c r="A144" t="s">
        <v>341</v>
      </c>
      <c r="B144" s="2" t="s">
        <v>240</v>
      </c>
      <c r="C144" t="s">
        <v>96</v>
      </c>
      <c r="D144" t="s">
        <v>196</v>
      </c>
      <c r="E144" t="s">
        <v>214</v>
      </c>
      <c r="F144" t="s">
        <v>75</v>
      </c>
      <c r="G144">
        <v>1</v>
      </c>
      <c r="H144" s="3">
        <v>15630</v>
      </c>
      <c r="I144" s="3">
        <v>15630</v>
      </c>
      <c r="J144" t="s">
        <v>76</v>
      </c>
      <c r="K144" t="s">
        <v>93</v>
      </c>
      <c r="L144" s="3">
        <f>SUM(SalesData3[Sales Amount (PKR)])</f>
        <v>11946830</v>
      </c>
    </row>
    <row r="145" spans="1:12" ht="14.25" customHeight="1" x14ac:dyDescent="0.45">
      <c r="A145" t="s">
        <v>342</v>
      </c>
      <c r="B145" s="2" t="s">
        <v>343</v>
      </c>
      <c r="C145" t="s">
        <v>72</v>
      </c>
      <c r="D145" t="s">
        <v>196</v>
      </c>
      <c r="E145" t="s">
        <v>214</v>
      </c>
      <c r="F145" t="s">
        <v>81</v>
      </c>
      <c r="G145">
        <v>1</v>
      </c>
      <c r="H145" s="3">
        <v>15550</v>
      </c>
      <c r="I145" s="3">
        <v>15550</v>
      </c>
      <c r="J145" t="s">
        <v>76</v>
      </c>
      <c r="K145" t="s">
        <v>83</v>
      </c>
      <c r="L145" s="3">
        <f>SUM(SalesData3[Sales Amount (PKR)])</f>
        <v>11946830</v>
      </c>
    </row>
    <row r="146" spans="1:12" ht="14.25" customHeight="1" x14ac:dyDescent="0.45">
      <c r="A146" t="s">
        <v>344</v>
      </c>
      <c r="B146" s="2" t="s">
        <v>345</v>
      </c>
      <c r="C146" t="s">
        <v>89</v>
      </c>
      <c r="D146" t="s">
        <v>196</v>
      </c>
      <c r="E146" t="s">
        <v>214</v>
      </c>
      <c r="F146" t="s">
        <v>140</v>
      </c>
      <c r="G146">
        <v>1</v>
      </c>
      <c r="H146" s="3">
        <v>15530</v>
      </c>
      <c r="I146" s="3">
        <v>15530</v>
      </c>
      <c r="J146" t="s">
        <v>76</v>
      </c>
      <c r="K146" t="s">
        <v>83</v>
      </c>
      <c r="L146" s="3">
        <f>SUM(SalesData3[Sales Amount (PKR)])</f>
        <v>11946830</v>
      </c>
    </row>
    <row r="147" spans="1:12" ht="14.25" customHeight="1" x14ac:dyDescent="0.45">
      <c r="A147" t="s">
        <v>346</v>
      </c>
      <c r="B147" s="2" t="s">
        <v>347</v>
      </c>
      <c r="C147" t="s">
        <v>89</v>
      </c>
      <c r="D147" t="s">
        <v>196</v>
      </c>
      <c r="E147" t="s">
        <v>214</v>
      </c>
      <c r="F147" t="s">
        <v>107</v>
      </c>
      <c r="G147">
        <v>1</v>
      </c>
      <c r="H147" s="3">
        <v>15500</v>
      </c>
      <c r="I147" s="3">
        <v>15500</v>
      </c>
      <c r="J147" t="s">
        <v>76</v>
      </c>
      <c r="K147" t="s">
        <v>83</v>
      </c>
      <c r="L147" s="3">
        <f>SUM(SalesData3[Sales Amount (PKR)])</f>
        <v>11946830</v>
      </c>
    </row>
    <row r="148" spans="1:12" ht="14.25" customHeight="1" x14ac:dyDescent="0.45">
      <c r="A148" t="s">
        <v>348</v>
      </c>
      <c r="B148" s="2" t="s">
        <v>190</v>
      </c>
      <c r="C148" t="s">
        <v>89</v>
      </c>
      <c r="D148" t="s">
        <v>334</v>
      </c>
      <c r="E148" t="s">
        <v>335</v>
      </c>
      <c r="F148" t="s">
        <v>131</v>
      </c>
      <c r="G148">
        <v>4</v>
      </c>
      <c r="H148" s="3">
        <v>3860</v>
      </c>
      <c r="I148" s="3">
        <v>15440</v>
      </c>
      <c r="J148" t="s">
        <v>82</v>
      </c>
      <c r="K148" t="s">
        <v>93</v>
      </c>
      <c r="L148" s="3">
        <f>SUM(SalesData3[Sales Amount (PKR)])</f>
        <v>11946830</v>
      </c>
    </row>
    <row r="149" spans="1:12" ht="14.25" customHeight="1" x14ac:dyDescent="0.45">
      <c r="A149" t="s">
        <v>349</v>
      </c>
      <c r="B149" s="2" t="s">
        <v>350</v>
      </c>
      <c r="C149" t="s">
        <v>96</v>
      </c>
      <c r="D149" t="s">
        <v>196</v>
      </c>
      <c r="E149" t="s">
        <v>214</v>
      </c>
      <c r="F149" t="s">
        <v>131</v>
      </c>
      <c r="G149">
        <v>1</v>
      </c>
      <c r="H149" s="3">
        <v>15350</v>
      </c>
      <c r="I149" s="3">
        <v>15350</v>
      </c>
      <c r="J149" t="s">
        <v>82</v>
      </c>
      <c r="K149" t="s">
        <v>83</v>
      </c>
      <c r="L149" s="3">
        <f>SUM(SalesData3[Sales Amount (PKR)])</f>
        <v>11946830</v>
      </c>
    </row>
    <row r="150" spans="1:12" ht="14.25" customHeight="1" x14ac:dyDescent="0.45">
      <c r="A150" t="s">
        <v>351</v>
      </c>
      <c r="B150" s="2" t="s">
        <v>352</v>
      </c>
      <c r="C150" t="s">
        <v>89</v>
      </c>
      <c r="D150" t="s">
        <v>196</v>
      </c>
      <c r="E150" t="s">
        <v>214</v>
      </c>
      <c r="F150" t="s">
        <v>75</v>
      </c>
      <c r="G150">
        <v>1</v>
      </c>
      <c r="H150" s="3">
        <v>15330</v>
      </c>
      <c r="I150" s="3">
        <v>15330</v>
      </c>
      <c r="J150" t="s">
        <v>76</v>
      </c>
      <c r="K150" t="s">
        <v>83</v>
      </c>
      <c r="L150" s="3">
        <f>SUM(SalesData3[Sales Amount (PKR)])</f>
        <v>11946830</v>
      </c>
    </row>
    <row r="151" spans="1:12" ht="14.25" customHeight="1" x14ac:dyDescent="0.45">
      <c r="A151" t="s">
        <v>353</v>
      </c>
      <c r="B151" s="2" t="s">
        <v>354</v>
      </c>
      <c r="C151" t="s">
        <v>96</v>
      </c>
      <c r="D151" t="s">
        <v>196</v>
      </c>
      <c r="E151" t="s">
        <v>214</v>
      </c>
      <c r="F151" t="s">
        <v>107</v>
      </c>
      <c r="G151">
        <v>1</v>
      </c>
      <c r="H151" s="3">
        <v>15310</v>
      </c>
      <c r="I151" s="3">
        <v>15310</v>
      </c>
      <c r="J151" t="s">
        <v>76</v>
      </c>
      <c r="K151" t="s">
        <v>83</v>
      </c>
      <c r="L151" s="3">
        <f>SUM(SalesData3[Sales Amount (PKR)])</f>
        <v>11946830</v>
      </c>
    </row>
    <row r="152" spans="1:12" ht="14.25" customHeight="1" x14ac:dyDescent="0.45">
      <c r="A152" t="s">
        <v>355</v>
      </c>
      <c r="B152" s="2" t="s">
        <v>148</v>
      </c>
      <c r="C152" t="s">
        <v>89</v>
      </c>
      <c r="D152" t="s">
        <v>334</v>
      </c>
      <c r="E152" t="s">
        <v>335</v>
      </c>
      <c r="F152" t="s">
        <v>131</v>
      </c>
      <c r="G152">
        <v>4</v>
      </c>
      <c r="H152" s="3">
        <v>3810</v>
      </c>
      <c r="I152" s="3">
        <v>15240</v>
      </c>
      <c r="J152" t="s">
        <v>76</v>
      </c>
      <c r="K152" t="s">
        <v>77</v>
      </c>
      <c r="L152" s="3">
        <f>SUM(SalesData3[Sales Amount (PKR)])</f>
        <v>11946830</v>
      </c>
    </row>
    <row r="153" spans="1:12" ht="14.25" customHeight="1" x14ac:dyDescent="0.45">
      <c r="A153" t="s">
        <v>356</v>
      </c>
      <c r="B153" s="2" t="s">
        <v>253</v>
      </c>
      <c r="C153" t="s">
        <v>100</v>
      </c>
      <c r="D153" t="s">
        <v>196</v>
      </c>
      <c r="E153" t="s">
        <v>214</v>
      </c>
      <c r="F153" t="s">
        <v>86</v>
      </c>
      <c r="G153">
        <v>1</v>
      </c>
      <c r="H153" s="3">
        <v>15190</v>
      </c>
      <c r="I153" s="3">
        <v>15190</v>
      </c>
      <c r="J153" t="s">
        <v>76</v>
      </c>
      <c r="K153" t="s">
        <v>83</v>
      </c>
      <c r="L153" s="3">
        <f>SUM(SalesData3[Sales Amount (PKR)])</f>
        <v>11946830</v>
      </c>
    </row>
    <row r="154" spans="1:12" ht="14.25" customHeight="1" x14ac:dyDescent="0.45">
      <c r="A154" t="s">
        <v>357</v>
      </c>
      <c r="B154" s="2" t="s">
        <v>352</v>
      </c>
      <c r="C154" t="s">
        <v>89</v>
      </c>
      <c r="D154" t="s">
        <v>196</v>
      </c>
      <c r="E154" t="s">
        <v>214</v>
      </c>
      <c r="F154" t="s">
        <v>81</v>
      </c>
      <c r="G154">
        <v>1</v>
      </c>
      <c r="H154" s="3">
        <v>15140</v>
      </c>
      <c r="I154" s="3">
        <v>15140</v>
      </c>
      <c r="J154" t="s">
        <v>76</v>
      </c>
      <c r="K154" t="s">
        <v>93</v>
      </c>
      <c r="L154" s="3">
        <f>SUM(SalesData3[Sales Amount (PKR)])</f>
        <v>11946830</v>
      </c>
    </row>
    <row r="155" spans="1:12" ht="14.25" customHeight="1" x14ac:dyDescent="0.45">
      <c r="A155" t="s">
        <v>358</v>
      </c>
      <c r="B155" s="2" t="s">
        <v>359</v>
      </c>
      <c r="C155" t="s">
        <v>89</v>
      </c>
      <c r="D155" t="s">
        <v>196</v>
      </c>
      <c r="E155" t="s">
        <v>214</v>
      </c>
      <c r="F155" t="s">
        <v>131</v>
      </c>
      <c r="G155">
        <v>1</v>
      </c>
      <c r="H155" s="3">
        <v>15120</v>
      </c>
      <c r="I155" s="3">
        <v>15120</v>
      </c>
      <c r="J155" t="s">
        <v>76</v>
      </c>
      <c r="K155" t="s">
        <v>77</v>
      </c>
      <c r="L155" s="3">
        <f>SUM(SalesData3[Sales Amount (PKR)])</f>
        <v>11946830</v>
      </c>
    </row>
    <row r="156" spans="1:12" ht="14.25" customHeight="1" x14ac:dyDescent="0.45">
      <c r="A156" t="s">
        <v>360</v>
      </c>
      <c r="B156" s="2" t="s">
        <v>162</v>
      </c>
      <c r="C156" t="s">
        <v>96</v>
      </c>
      <c r="D156" t="s">
        <v>196</v>
      </c>
      <c r="E156" t="s">
        <v>214</v>
      </c>
      <c r="F156" t="s">
        <v>131</v>
      </c>
      <c r="G156">
        <v>1</v>
      </c>
      <c r="H156" s="3">
        <v>15070</v>
      </c>
      <c r="I156" s="3">
        <v>15070</v>
      </c>
      <c r="J156" t="s">
        <v>82</v>
      </c>
      <c r="K156" t="s">
        <v>83</v>
      </c>
      <c r="L156" s="3">
        <f>SUM(SalesData3[Sales Amount (PKR)])</f>
        <v>11946830</v>
      </c>
    </row>
    <row r="157" spans="1:12" ht="14.25" customHeight="1" x14ac:dyDescent="0.45">
      <c r="A157" t="s">
        <v>361</v>
      </c>
      <c r="B157" s="2" t="s">
        <v>186</v>
      </c>
      <c r="C157" t="s">
        <v>72</v>
      </c>
      <c r="D157" t="s">
        <v>196</v>
      </c>
      <c r="E157" t="s">
        <v>214</v>
      </c>
      <c r="F157" t="s">
        <v>123</v>
      </c>
      <c r="G157">
        <v>1</v>
      </c>
      <c r="H157" s="3">
        <v>15060</v>
      </c>
      <c r="I157" s="3">
        <v>15060</v>
      </c>
      <c r="J157" t="s">
        <v>76</v>
      </c>
      <c r="K157" t="s">
        <v>83</v>
      </c>
      <c r="L157" s="3">
        <f>SUM(SalesData3[Sales Amount (PKR)])</f>
        <v>11946830</v>
      </c>
    </row>
    <row r="158" spans="1:12" ht="14.25" customHeight="1" x14ac:dyDescent="0.45">
      <c r="A158" t="s">
        <v>362</v>
      </c>
      <c r="B158" s="2" t="s">
        <v>363</v>
      </c>
      <c r="C158" t="s">
        <v>96</v>
      </c>
      <c r="D158" t="s">
        <v>196</v>
      </c>
      <c r="E158" t="s">
        <v>214</v>
      </c>
      <c r="F158" t="s">
        <v>90</v>
      </c>
      <c r="G158">
        <v>1</v>
      </c>
      <c r="H158" s="3">
        <v>15050</v>
      </c>
      <c r="I158" s="3">
        <v>15050</v>
      </c>
      <c r="J158" t="s">
        <v>76</v>
      </c>
      <c r="K158" t="s">
        <v>83</v>
      </c>
      <c r="L158" s="3">
        <f>SUM(SalesData3[Sales Amount (PKR)])</f>
        <v>11946830</v>
      </c>
    </row>
    <row r="159" spans="1:12" ht="14.25" customHeight="1" x14ac:dyDescent="0.45">
      <c r="A159" t="s">
        <v>364</v>
      </c>
      <c r="B159" s="2" t="s">
        <v>365</v>
      </c>
      <c r="C159" t="s">
        <v>80</v>
      </c>
      <c r="D159" t="s">
        <v>196</v>
      </c>
      <c r="E159" t="s">
        <v>214</v>
      </c>
      <c r="F159" t="s">
        <v>97</v>
      </c>
      <c r="G159">
        <v>1</v>
      </c>
      <c r="H159" s="3">
        <v>15020</v>
      </c>
      <c r="I159" s="3">
        <v>15020</v>
      </c>
      <c r="J159" t="s">
        <v>82</v>
      </c>
      <c r="K159" t="s">
        <v>93</v>
      </c>
      <c r="L159" s="3">
        <f>SUM(SalesData3[Sales Amount (PKR)])</f>
        <v>11946830</v>
      </c>
    </row>
    <row r="160" spans="1:12" ht="14.25" customHeight="1" x14ac:dyDescent="0.45">
      <c r="A160" t="s">
        <v>366</v>
      </c>
      <c r="B160" s="2" t="s">
        <v>367</v>
      </c>
      <c r="C160" t="s">
        <v>72</v>
      </c>
      <c r="D160" t="s">
        <v>196</v>
      </c>
      <c r="E160" t="s">
        <v>214</v>
      </c>
      <c r="F160" t="s">
        <v>107</v>
      </c>
      <c r="G160">
        <v>1</v>
      </c>
      <c r="H160" s="3">
        <v>14960</v>
      </c>
      <c r="I160" s="3">
        <v>14960</v>
      </c>
      <c r="J160" t="s">
        <v>76</v>
      </c>
      <c r="K160" t="s">
        <v>77</v>
      </c>
      <c r="L160" s="3">
        <f>SUM(SalesData3[Sales Amount (PKR)])</f>
        <v>11946830</v>
      </c>
    </row>
    <row r="161" spans="1:12" ht="14.25" customHeight="1" x14ac:dyDescent="0.45">
      <c r="A161" t="s">
        <v>368</v>
      </c>
      <c r="B161" s="2" t="s">
        <v>369</v>
      </c>
      <c r="C161" t="s">
        <v>100</v>
      </c>
      <c r="D161" t="s">
        <v>196</v>
      </c>
      <c r="E161" t="s">
        <v>214</v>
      </c>
      <c r="F161" t="s">
        <v>75</v>
      </c>
      <c r="G161">
        <v>1</v>
      </c>
      <c r="H161" s="3">
        <v>14950</v>
      </c>
      <c r="I161" s="3">
        <v>14950</v>
      </c>
      <c r="J161" t="s">
        <v>76</v>
      </c>
      <c r="K161" t="s">
        <v>83</v>
      </c>
      <c r="L161" s="3">
        <f>SUM(SalesData3[Sales Amount (PKR)])</f>
        <v>11946830</v>
      </c>
    </row>
    <row r="162" spans="1:12" ht="14.25" customHeight="1" x14ac:dyDescent="0.45">
      <c r="A162" t="s">
        <v>370</v>
      </c>
      <c r="B162" s="2" t="s">
        <v>188</v>
      </c>
      <c r="C162" t="s">
        <v>72</v>
      </c>
      <c r="D162" t="s">
        <v>196</v>
      </c>
      <c r="E162" t="s">
        <v>214</v>
      </c>
      <c r="F162" t="s">
        <v>97</v>
      </c>
      <c r="G162">
        <v>1</v>
      </c>
      <c r="H162" s="3">
        <v>14910</v>
      </c>
      <c r="I162" s="3">
        <v>14910</v>
      </c>
      <c r="J162" t="s">
        <v>76</v>
      </c>
      <c r="K162" t="s">
        <v>83</v>
      </c>
      <c r="L162" s="3">
        <f>SUM(SalesData3[Sales Amount (PKR)])</f>
        <v>11946830</v>
      </c>
    </row>
    <row r="163" spans="1:12" ht="14.25" customHeight="1" x14ac:dyDescent="0.45">
      <c r="A163" t="s">
        <v>371</v>
      </c>
      <c r="B163" s="2" t="s">
        <v>183</v>
      </c>
      <c r="C163" t="s">
        <v>89</v>
      </c>
      <c r="D163" t="s">
        <v>196</v>
      </c>
      <c r="E163" t="s">
        <v>214</v>
      </c>
      <c r="F163" t="s">
        <v>107</v>
      </c>
      <c r="G163">
        <v>1</v>
      </c>
      <c r="H163" s="3">
        <v>14910</v>
      </c>
      <c r="I163" s="3">
        <v>14910</v>
      </c>
      <c r="J163" t="s">
        <v>76</v>
      </c>
      <c r="K163" t="s">
        <v>83</v>
      </c>
      <c r="L163" s="3">
        <f>SUM(SalesData3[Sales Amount (PKR)])</f>
        <v>11946830</v>
      </c>
    </row>
    <row r="164" spans="1:12" ht="14.25" customHeight="1" x14ac:dyDescent="0.45">
      <c r="A164" t="s">
        <v>372</v>
      </c>
      <c r="B164" s="2" t="s">
        <v>125</v>
      </c>
      <c r="C164" t="s">
        <v>72</v>
      </c>
      <c r="D164" t="s">
        <v>196</v>
      </c>
      <c r="E164" t="s">
        <v>246</v>
      </c>
      <c r="F164" t="s">
        <v>117</v>
      </c>
      <c r="G164">
        <v>1</v>
      </c>
      <c r="H164" s="3">
        <v>14020</v>
      </c>
      <c r="I164" s="3">
        <v>14020</v>
      </c>
      <c r="J164" t="s">
        <v>76</v>
      </c>
      <c r="K164" t="s">
        <v>77</v>
      </c>
      <c r="L164" s="3">
        <f>SUM(SalesData3[Sales Amount (PKR)])</f>
        <v>11946830</v>
      </c>
    </row>
    <row r="165" spans="1:12" ht="14.25" customHeight="1" x14ac:dyDescent="0.45">
      <c r="A165" t="s">
        <v>373</v>
      </c>
      <c r="B165" s="2" t="s">
        <v>374</v>
      </c>
      <c r="C165" t="s">
        <v>96</v>
      </c>
      <c r="D165" t="s">
        <v>196</v>
      </c>
      <c r="E165" t="s">
        <v>246</v>
      </c>
      <c r="F165" t="s">
        <v>107</v>
      </c>
      <c r="G165">
        <v>1</v>
      </c>
      <c r="H165" s="3">
        <v>14000</v>
      </c>
      <c r="I165" s="3">
        <v>14000</v>
      </c>
      <c r="J165" t="s">
        <v>82</v>
      </c>
      <c r="K165" t="s">
        <v>83</v>
      </c>
      <c r="L165" s="3">
        <f>SUM(SalesData3[Sales Amount (PKR)])</f>
        <v>11946830</v>
      </c>
    </row>
    <row r="166" spans="1:12" ht="14.25" customHeight="1" x14ac:dyDescent="0.45">
      <c r="A166" t="s">
        <v>375</v>
      </c>
      <c r="B166" s="2" t="s">
        <v>376</v>
      </c>
      <c r="C166" t="s">
        <v>72</v>
      </c>
      <c r="D166" t="s">
        <v>196</v>
      </c>
      <c r="E166" t="s">
        <v>246</v>
      </c>
      <c r="F166" t="s">
        <v>97</v>
      </c>
      <c r="G166">
        <v>1</v>
      </c>
      <c r="H166" s="3">
        <v>13900</v>
      </c>
      <c r="I166" s="3">
        <v>13900</v>
      </c>
      <c r="J166" t="s">
        <v>76</v>
      </c>
      <c r="K166" t="s">
        <v>93</v>
      </c>
      <c r="L166" s="3">
        <f>SUM(SalesData3[Sales Amount (PKR)])</f>
        <v>11946830</v>
      </c>
    </row>
    <row r="167" spans="1:12" ht="14.25" customHeight="1" x14ac:dyDescent="0.45">
      <c r="A167" t="s">
        <v>377</v>
      </c>
      <c r="B167" s="2" t="s">
        <v>345</v>
      </c>
      <c r="C167" t="s">
        <v>89</v>
      </c>
      <c r="D167" t="s">
        <v>196</v>
      </c>
      <c r="E167" t="s">
        <v>246</v>
      </c>
      <c r="F167" t="s">
        <v>81</v>
      </c>
      <c r="G167">
        <v>1</v>
      </c>
      <c r="H167" s="3">
        <v>13840</v>
      </c>
      <c r="I167" s="3">
        <v>13840</v>
      </c>
      <c r="J167" t="s">
        <v>82</v>
      </c>
      <c r="K167" t="s">
        <v>83</v>
      </c>
      <c r="L167" s="3">
        <f>SUM(SalesData3[Sales Amount (PKR)])</f>
        <v>11946830</v>
      </c>
    </row>
    <row r="168" spans="1:12" ht="14.25" customHeight="1" x14ac:dyDescent="0.45">
      <c r="A168" t="s">
        <v>378</v>
      </c>
      <c r="B168" s="2" t="s">
        <v>125</v>
      </c>
      <c r="C168" t="s">
        <v>89</v>
      </c>
      <c r="D168" t="s">
        <v>196</v>
      </c>
      <c r="E168" t="s">
        <v>246</v>
      </c>
      <c r="F168" t="s">
        <v>107</v>
      </c>
      <c r="G168">
        <v>1</v>
      </c>
      <c r="H168" s="3">
        <v>13700</v>
      </c>
      <c r="I168" s="3">
        <v>13700</v>
      </c>
      <c r="J168" t="s">
        <v>76</v>
      </c>
      <c r="K168" t="s">
        <v>77</v>
      </c>
      <c r="L168" s="3">
        <f>SUM(SalesData3[Sales Amount (PKR)])</f>
        <v>11946830</v>
      </c>
    </row>
    <row r="169" spans="1:12" ht="14.25" customHeight="1" x14ac:dyDescent="0.45">
      <c r="A169" t="s">
        <v>379</v>
      </c>
      <c r="B169" s="2" t="s">
        <v>324</v>
      </c>
      <c r="C169" t="s">
        <v>80</v>
      </c>
      <c r="D169" t="s">
        <v>196</v>
      </c>
      <c r="E169" t="s">
        <v>246</v>
      </c>
      <c r="F169" t="s">
        <v>97</v>
      </c>
      <c r="G169">
        <v>1</v>
      </c>
      <c r="H169" s="3">
        <v>13540</v>
      </c>
      <c r="I169" s="3">
        <v>13540</v>
      </c>
      <c r="J169" t="s">
        <v>76</v>
      </c>
      <c r="K169" t="s">
        <v>83</v>
      </c>
      <c r="L169" s="3">
        <f>SUM(SalesData3[Sales Amount (PKR)])</f>
        <v>11946830</v>
      </c>
    </row>
    <row r="170" spans="1:12" ht="14.25" customHeight="1" x14ac:dyDescent="0.45">
      <c r="A170" t="s">
        <v>380</v>
      </c>
      <c r="B170" s="2" t="s">
        <v>381</v>
      </c>
      <c r="C170" t="s">
        <v>100</v>
      </c>
      <c r="D170" t="s">
        <v>196</v>
      </c>
      <c r="E170" t="s">
        <v>246</v>
      </c>
      <c r="F170" t="s">
        <v>117</v>
      </c>
      <c r="G170">
        <v>1</v>
      </c>
      <c r="H170" s="3">
        <v>13530</v>
      </c>
      <c r="I170" s="3">
        <v>13530</v>
      </c>
      <c r="J170" t="s">
        <v>82</v>
      </c>
      <c r="K170" t="s">
        <v>83</v>
      </c>
      <c r="L170" s="3">
        <f>SUM(SalesData3[Sales Amount (PKR)])</f>
        <v>11946830</v>
      </c>
    </row>
    <row r="171" spans="1:12" ht="14.25" customHeight="1" x14ac:dyDescent="0.45">
      <c r="A171" t="s">
        <v>382</v>
      </c>
      <c r="B171" s="2" t="s">
        <v>139</v>
      </c>
      <c r="C171" t="s">
        <v>72</v>
      </c>
      <c r="D171" t="s">
        <v>196</v>
      </c>
      <c r="E171" t="s">
        <v>300</v>
      </c>
      <c r="F171" t="s">
        <v>81</v>
      </c>
      <c r="G171">
        <v>3</v>
      </c>
      <c r="H171" s="3">
        <v>4470</v>
      </c>
      <c r="I171" s="3">
        <v>13410</v>
      </c>
      <c r="J171" t="s">
        <v>76</v>
      </c>
      <c r="K171" t="s">
        <v>83</v>
      </c>
      <c r="L171" s="3">
        <f>SUM(SalesData3[Sales Amount (PKR)])</f>
        <v>11946830</v>
      </c>
    </row>
    <row r="172" spans="1:12" ht="14.25" customHeight="1" x14ac:dyDescent="0.45">
      <c r="A172" t="s">
        <v>383</v>
      </c>
      <c r="B172" s="2" t="s">
        <v>206</v>
      </c>
      <c r="C172" t="s">
        <v>72</v>
      </c>
      <c r="D172" t="s">
        <v>196</v>
      </c>
      <c r="E172" t="s">
        <v>246</v>
      </c>
      <c r="F172" t="s">
        <v>107</v>
      </c>
      <c r="G172">
        <v>1</v>
      </c>
      <c r="H172" s="3">
        <v>13370</v>
      </c>
      <c r="I172" s="3">
        <v>13370</v>
      </c>
      <c r="J172" t="s">
        <v>76</v>
      </c>
      <c r="K172" t="s">
        <v>83</v>
      </c>
      <c r="L172" s="3">
        <f>SUM(SalesData3[Sales Amount (PKR)])</f>
        <v>11946830</v>
      </c>
    </row>
    <row r="173" spans="1:12" ht="14.25" customHeight="1" x14ac:dyDescent="0.45">
      <c r="A173" t="s">
        <v>384</v>
      </c>
      <c r="B173" s="2" t="s">
        <v>385</v>
      </c>
      <c r="C173" t="s">
        <v>100</v>
      </c>
      <c r="D173" t="s">
        <v>196</v>
      </c>
      <c r="E173" t="s">
        <v>246</v>
      </c>
      <c r="F173" t="s">
        <v>86</v>
      </c>
      <c r="G173">
        <v>1</v>
      </c>
      <c r="H173" s="3">
        <v>13210</v>
      </c>
      <c r="I173" s="3">
        <v>13210</v>
      </c>
      <c r="J173" t="s">
        <v>82</v>
      </c>
      <c r="K173" t="s">
        <v>77</v>
      </c>
      <c r="L173" s="3">
        <f>SUM(SalesData3[Sales Amount (PKR)])</f>
        <v>11946830</v>
      </c>
    </row>
    <row r="174" spans="1:12" ht="14.25" customHeight="1" x14ac:dyDescent="0.45">
      <c r="A174" t="s">
        <v>386</v>
      </c>
      <c r="B174" s="2" t="s">
        <v>387</v>
      </c>
      <c r="C174" t="s">
        <v>72</v>
      </c>
      <c r="D174" t="s">
        <v>196</v>
      </c>
      <c r="E174" t="s">
        <v>246</v>
      </c>
      <c r="F174" t="s">
        <v>107</v>
      </c>
      <c r="G174">
        <v>1</v>
      </c>
      <c r="H174" s="3">
        <v>13190</v>
      </c>
      <c r="I174" s="3">
        <v>13190</v>
      </c>
      <c r="J174" t="s">
        <v>82</v>
      </c>
      <c r="K174" t="s">
        <v>83</v>
      </c>
      <c r="L174" s="3">
        <f>SUM(SalesData3[Sales Amount (PKR)])</f>
        <v>11946830</v>
      </c>
    </row>
    <row r="175" spans="1:12" ht="14.25" customHeight="1" x14ac:dyDescent="0.45">
      <c r="A175" t="s">
        <v>388</v>
      </c>
      <c r="B175" s="2" t="s">
        <v>389</v>
      </c>
      <c r="C175" t="s">
        <v>80</v>
      </c>
      <c r="D175" t="s">
        <v>196</v>
      </c>
      <c r="E175" t="s">
        <v>246</v>
      </c>
      <c r="F175" t="s">
        <v>75</v>
      </c>
      <c r="G175">
        <v>1</v>
      </c>
      <c r="H175" s="3">
        <v>13190</v>
      </c>
      <c r="I175" s="3">
        <v>13190</v>
      </c>
      <c r="J175" t="s">
        <v>82</v>
      </c>
      <c r="K175" t="s">
        <v>83</v>
      </c>
      <c r="L175" s="3">
        <f>SUM(SalesData3[Sales Amount (PKR)])</f>
        <v>11946830</v>
      </c>
    </row>
    <row r="176" spans="1:12" ht="14.25" customHeight="1" x14ac:dyDescent="0.45">
      <c r="A176" t="s">
        <v>390</v>
      </c>
      <c r="B176" s="2" t="s">
        <v>391</v>
      </c>
      <c r="C176" t="s">
        <v>96</v>
      </c>
      <c r="D176" t="s">
        <v>196</v>
      </c>
      <c r="E176" t="s">
        <v>246</v>
      </c>
      <c r="F176" t="s">
        <v>81</v>
      </c>
      <c r="G176">
        <v>1</v>
      </c>
      <c r="H176" s="3">
        <v>13160</v>
      </c>
      <c r="I176" s="3">
        <v>13160</v>
      </c>
      <c r="J176" t="s">
        <v>76</v>
      </c>
      <c r="K176" t="s">
        <v>83</v>
      </c>
      <c r="L176" s="3">
        <f>SUM(SalesData3[Sales Amount (PKR)])</f>
        <v>11946830</v>
      </c>
    </row>
    <row r="177" spans="1:12" ht="14.25" customHeight="1" x14ac:dyDescent="0.45">
      <c r="A177" t="s">
        <v>392</v>
      </c>
      <c r="B177" s="2" t="s">
        <v>393</v>
      </c>
      <c r="C177" t="s">
        <v>96</v>
      </c>
      <c r="D177" t="s">
        <v>196</v>
      </c>
      <c r="E177" t="s">
        <v>246</v>
      </c>
      <c r="F177" t="s">
        <v>86</v>
      </c>
      <c r="G177">
        <v>1</v>
      </c>
      <c r="H177" s="3">
        <v>13050</v>
      </c>
      <c r="I177" s="3">
        <v>13050</v>
      </c>
      <c r="J177" t="s">
        <v>82</v>
      </c>
      <c r="K177" t="s">
        <v>93</v>
      </c>
      <c r="L177" s="3">
        <f>SUM(SalesData3[Sales Amount (PKR)])</f>
        <v>11946830</v>
      </c>
    </row>
    <row r="178" spans="1:12" ht="14.25" customHeight="1" x14ac:dyDescent="0.45">
      <c r="A178" t="s">
        <v>394</v>
      </c>
      <c r="B178" s="2" t="s">
        <v>204</v>
      </c>
      <c r="C178" t="s">
        <v>89</v>
      </c>
      <c r="D178" t="s">
        <v>196</v>
      </c>
      <c r="E178" t="s">
        <v>246</v>
      </c>
      <c r="F178" t="s">
        <v>107</v>
      </c>
      <c r="G178">
        <v>1</v>
      </c>
      <c r="H178" s="3">
        <v>12990</v>
      </c>
      <c r="I178" s="3">
        <v>12990</v>
      </c>
      <c r="J178" t="s">
        <v>76</v>
      </c>
      <c r="K178" t="s">
        <v>83</v>
      </c>
      <c r="L178" s="3">
        <f>SUM(SalesData3[Sales Amount (PKR)])</f>
        <v>11946830</v>
      </c>
    </row>
    <row r="179" spans="1:12" ht="14.25" customHeight="1" x14ac:dyDescent="0.45">
      <c r="A179" t="s">
        <v>395</v>
      </c>
      <c r="B179" s="2" t="s">
        <v>109</v>
      </c>
      <c r="C179" t="s">
        <v>100</v>
      </c>
      <c r="D179" t="s">
        <v>196</v>
      </c>
      <c r="E179" t="s">
        <v>246</v>
      </c>
      <c r="F179" t="s">
        <v>131</v>
      </c>
      <c r="G179">
        <v>1</v>
      </c>
      <c r="H179" s="3">
        <v>12980</v>
      </c>
      <c r="I179" s="3">
        <v>12980</v>
      </c>
      <c r="J179" t="s">
        <v>76</v>
      </c>
      <c r="K179" t="s">
        <v>77</v>
      </c>
      <c r="L179" s="3">
        <f>SUM(SalesData3[Sales Amount (PKR)])</f>
        <v>11946830</v>
      </c>
    </row>
    <row r="180" spans="1:12" ht="14.25" customHeight="1" x14ac:dyDescent="0.45">
      <c r="A180" t="s">
        <v>396</v>
      </c>
      <c r="B180" s="2" t="s">
        <v>216</v>
      </c>
      <c r="C180" t="s">
        <v>80</v>
      </c>
      <c r="D180" t="s">
        <v>196</v>
      </c>
      <c r="E180" t="s">
        <v>246</v>
      </c>
      <c r="F180" t="s">
        <v>97</v>
      </c>
      <c r="G180">
        <v>1</v>
      </c>
      <c r="H180" s="3">
        <v>12970</v>
      </c>
      <c r="I180" s="3">
        <v>12970</v>
      </c>
      <c r="J180" t="s">
        <v>82</v>
      </c>
      <c r="K180" t="s">
        <v>83</v>
      </c>
      <c r="L180" s="3">
        <f>SUM(SalesData3[Sales Amount (PKR)])</f>
        <v>11946830</v>
      </c>
    </row>
    <row r="181" spans="1:12" ht="14.25" customHeight="1" x14ac:dyDescent="0.45">
      <c r="A181" t="s">
        <v>397</v>
      </c>
      <c r="B181" s="2" t="s">
        <v>142</v>
      </c>
      <c r="C181" t="s">
        <v>96</v>
      </c>
      <c r="D181" t="s">
        <v>398</v>
      </c>
      <c r="E181" t="s">
        <v>399</v>
      </c>
      <c r="F181" t="s">
        <v>131</v>
      </c>
      <c r="G181">
        <v>4</v>
      </c>
      <c r="H181" s="3">
        <v>3220</v>
      </c>
      <c r="I181" s="3">
        <v>12880</v>
      </c>
      <c r="J181" t="s">
        <v>76</v>
      </c>
      <c r="K181" t="s">
        <v>83</v>
      </c>
      <c r="L181" s="3">
        <f>SUM(SalesData3[Sales Amount (PKR)])</f>
        <v>11946830</v>
      </c>
    </row>
    <row r="182" spans="1:12" ht="14.25" customHeight="1" x14ac:dyDescent="0.45">
      <c r="A182" t="s">
        <v>400</v>
      </c>
      <c r="B182" s="2" t="s">
        <v>401</v>
      </c>
      <c r="C182" t="s">
        <v>96</v>
      </c>
      <c r="D182" t="s">
        <v>334</v>
      </c>
      <c r="E182" t="s">
        <v>402</v>
      </c>
      <c r="F182" t="s">
        <v>97</v>
      </c>
      <c r="G182">
        <v>3</v>
      </c>
      <c r="H182" s="3">
        <v>4200</v>
      </c>
      <c r="I182" s="3">
        <v>12600</v>
      </c>
      <c r="J182" t="s">
        <v>76</v>
      </c>
      <c r="K182" t="s">
        <v>93</v>
      </c>
      <c r="L182" s="3">
        <f>SUM(SalesData3[Sales Amount (PKR)])</f>
        <v>11946830</v>
      </c>
    </row>
    <row r="183" spans="1:12" ht="14.25" customHeight="1" x14ac:dyDescent="0.45">
      <c r="A183" t="s">
        <v>403</v>
      </c>
      <c r="B183" s="2" t="s">
        <v>404</v>
      </c>
      <c r="C183" t="s">
        <v>72</v>
      </c>
      <c r="D183" t="s">
        <v>334</v>
      </c>
      <c r="E183" t="s">
        <v>402</v>
      </c>
      <c r="F183" t="s">
        <v>117</v>
      </c>
      <c r="G183">
        <v>3</v>
      </c>
      <c r="H183" s="3">
        <v>4110</v>
      </c>
      <c r="I183" s="3">
        <v>12330</v>
      </c>
      <c r="J183" t="s">
        <v>82</v>
      </c>
      <c r="K183" t="s">
        <v>93</v>
      </c>
      <c r="L183" s="3">
        <f>SUM(SalesData3[Sales Amount (PKR)])</f>
        <v>11946830</v>
      </c>
    </row>
    <row r="184" spans="1:12" ht="14.25" customHeight="1" x14ac:dyDescent="0.45">
      <c r="A184" t="s">
        <v>405</v>
      </c>
      <c r="B184" s="2" t="s">
        <v>231</v>
      </c>
      <c r="C184" t="s">
        <v>100</v>
      </c>
      <c r="D184" t="s">
        <v>398</v>
      </c>
      <c r="E184" t="s">
        <v>399</v>
      </c>
      <c r="F184" t="s">
        <v>140</v>
      </c>
      <c r="G184">
        <v>4</v>
      </c>
      <c r="H184" s="3">
        <v>3080</v>
      </c>
      <c r="I184" s="3">
        <v>12320</v>
      </c>
      <c r="J184" t="s">
        <v>76</v>
      </c>
      <c r="K184" t="s">
        <v>83</v>
      </c>
      <c r="L184" s="3">
        <f>SUM(SalesData3[Sales Amount (PKR)])</f>
        <v>11946830</v>
      </c>
    </row>
    <row r="185" spans="1:12" ht="14.25" customHeight="1" x14ac:dyDescent="0.45">
      <c r="A185" t="s">
        <v>406</v>
      </c>
      <c r="B185" s="2" t="s">
        <v>407</v>
      </c>
      <c r="C185" t="s">
        <v>89</v>
      </c>
      <c r="D185" t="s">
        <v>73</v>
      </c>
      <c r="E185" t="s">
        <v>211</v>
      </c>
      <c r="F185" t="s">
        <v>140</v>
      </c>
      <c r="G185">
        <v>1</v>
      </c>
      <c r="H185" s="3">
        <v>12260</v>
      </c>
      <c r="I185" s="3">
        <v>12260</v>
      </c>
      <c r="J185" t="s">
        <v>76</v>
      </c>
      <c r="K185" t="s">
        <v>93</v>
      </c>
      <c r="L185" s="3">
        <f>SUM(SalesData3[Sales Amount (PKR)])</f>
        <v>11946830</v>
      </c>
    </row>
    <row r="186" spans="1:12" ht="14.25" customHeight="1" x14ac:dyDescent="0.45">
      <c r="A186" t="s">
        <v>408</v>
      </c>
      <c r="B186" s="2" t="s">
        <v>223</v>
      </c>
      <c r="C186" t="s">
        <v>96</v>
      </c>
      <c r="D186" t="s">
        <v>73</v>
      </c>
      <c r="E186" t="s">
        <v>211</v>
      </c>
      <c r="F186" t="s">
        <v>123</v>
      </c>
      <c r="G186">
        <v>1</v>
      </c>
      <c r="H186" s="3">
        <v>12260</v>
      </c>
      <c r="I186" s="3">
        <v>12260</v>
      </c>
      <c r="J186" t="s">
        <v>82</v>
      </c>
      <c r="K186" t="s">
        <v>93</v>
      </c>
      <c r="L186" s="3">
        <f>SUM(SalesData3[Sales Amount (PKR)])</f>
        <v>11946830</v>
      </c>
    </row>
    <row r="187" spans="1:12" ht="14.25" customHeight="1" x14ac:dyDescent="0.45">
      <c r="A187" t="s">
        <v>409</v>
      </c>
      <c r="B187" s="2" t="s">
        <v>291</v>
      </c>
      <c r="C187" t="s">
        <v>89</v>
      </c>
      <c r="D187" t="s">
        <v>73</v>
      </c>
      <c r="E187" t="s">
        <v>211</v>
      </c>
      <c r="F187" t="s">
        <v>97</v>
      </c>
      <c r="G187">
        <v>1</v>
      </c>
      <c r="H187" s="3">
        <v>12250</v>
      </c>
      <c r="I187" s="3">
        <v>12250</v>
      </c>
      <c r="J187" t="s">
        <v>76</v>
      </c>
      <c r="K187" t="s">
        <v>93</v>
      </c>
      <c r="L187" s="3">
        <f>SUM(SalesData3[Sales Amount (PKR)])</f>
        <v>11946830</v>
      </c>
    </row>
    <row r="188" spans="1:12" ht="14.25" customHeight="1" x14ac:dyDescent="0.45">
      <c r="A188" t="s">
        <v>410</v>
      </c>
      <c r="B188" s="2" t="s">
        <v>79</v>
      </c>
      <c r="C188" t="s">
        <v>96</v>
      </c>
      <c r="D188" t="s">
        <v>73</v>
      </c>
      <c r="E188" t="s">
        <v>211</v>
      </c>
      <c r="F188" t="s">
        <v>107</v>
      </c>
      <c r="G188">
        <v>1</v>
      </c>
      <c r="H188" s="3">
        <v>12130</v>
      </c>
      <c r="I188" s="3">
        <v>12130</v>
      </c>
      <c r="J188" t="s">
        <v>76</v>
      </c>
      <c r="K188" t="s">
        <v>77</v>
      </c>
      <c r="L188" s="3">
        <f>SUM(SalesData3[Sales Amount (PKR)])</f>
        <v>11946830</v>
      </c>
    </row>
    <row r="189" spans="1:12" ht="14.25" customHeight="1" x14ac:dyDescent="0.45">
      <c r="A189" t="s">
        <v>411</v>
      </c>
      <c r="B189" s="2" t="s">
        <v>412</v>
      </c>
      <c r="C189" t="s">
        <v>89</v>
      </c>
      <c r="D189" t="s">
        <v>73</v>
      </c>
      <c r="E189" t="s">
        <v>211</v>
      </c>
      <c r="F189" t="s">
        <v>90</v>
      </c>
      <c r="G189">
        <v>1</v>
      </c>
      <c r="H189" s="3">
        <v>12120</v>
      </c>
      <c r="I189" s="3">
        <v>12120</v>
      </c>
      <c r="J189" t="s">
        <v>76</v>
      </c>
      <c r="K189" t="s">
        <v>83</v>
      </c>
      <c r="L189" s="3">
        <f>SUM(SalesData3[Sales Amount (PKR)])</f>
        <v>11946830</v>
      </c>
    </row>
    <row r="190" spans="1:12" ht="14.25" customHeight="1" x14ac:dyDescent="0.45">
      <c r="A190" t="s">
        <v>413</v>
      </c>
      <c r="B190" s="2" t="s">
        <v>414</v>
      </c>
      <c r="C190" t="s">
        <v>100</v>
      </c>
      <c r="D190" t="s">
        <v>73</v>
      </c>
      <c r="E190" t="s">
        <v>211</v>
      </c>
      <c r="F190" t="s">
        <v>123</v>
      </c>
      <c r="G190">
        <v>1</v>
      </c>
      <c r="H190" s="3">
        <v>12080</v>
      </c>
      <c r="I190" s="3">
        <v>12080</v>
      </c>
      <c r="J190" t="s">
        <v>76</v>
      </c>
      <c r="K190" t="s">
        <v>93</v>
      </c>
      <c r="L190" s="3">
        <f>SUM(SalesData3[Sales Amount (PKR)])</f>
        <v>11946830</v>
      </c>
    </row>
    <row r="191" spans="1:12" ht="14.25" customHeight="1" x14ac:dyDescent="0.45">
      <c r="A191" t="s">
        <v>415</v>
      </c>
      <c r="B191" s="2" t="s">
        <v>416</v>
      </c>
      <c r="C191" t="s">
        <v>96</v>
      </c>
      <c r="D191" t="s">
        <v>73</v>
      </c>
      <c r="E191" t="s">
        <v>211</v>
      </c>
      <c r="F191" t="s">
        <v>131</v>
      </c>
      <c r="G191">
        <v>1</v>
      </c>
      <c r="H191" s="3">
        <v>12080</v>
      </c>
      <c r="I191" s="3">
        <v>12080</v>
      </c>
      <c r="J191" t="s">
        <v>76</v>
      </c>
      <c r="K191" t="s">
        <v>83</v>
      </c>
      <c r="L191" s="3">
        <f>SUM(SalesData3[Sales Amount (PKR)])</f>
        <v>11946830</v>
      </c>
    </row>
    <row r="192" spans="1:12" ht="14.25" customHeight="1" x14ac:dyDescent="0.45">
      <c r="A192" t="s">
        <v>417</v>
      </c>
      <c r="B192" s="2" t="s">
        <v>381</v>
      </c>
      <c r="C192" t="s">
        <v>89</v>
      </c>
      <c r="D192" t="s">
        <v>73</v>
      </c>
      <c r="E192" t="s">
        <v>211</v>
      </c>
      <c r="F192" t="s">
        <v>90</v>
      </c>
      <c r="G192">
        <v>1</v>
      </c>
      <c r="H192" s="3">
        <v>12060</v>
      </c>
      <c r="I192" s="3">
        <v>12060</v>
      </c>
      <c r="J192" t="s">
        <v>76</v>
      </c>
      <c r="K192" t="s">
        <v>77</v>
      </c>
      <c r="L192" s="3">
        <f>SUM(SalesData3[Sales Amount (PKR)])</f>
        <v>11946830</v>
      </c>
    </row>
    <row r="193" spans="1:12" ht="14.25" customHeight="1" x14ac:dyDescent="0.45">
      <c r="A193" t="s">
        <v>418</v>
      </c>
      <c r="B193" s="2" t="s">
        <v>216</v>
      </c>
      <c r="C193" t="s">
        <v>96</v>
      </c>
      <c r="D193" t="s">
        <v>73</v>
      </c>
      <c r="E193" t="s">
        <v>211</v>
      </c>
      <c r="F193" t="s">
        <v>117</v>
      </c>
      <c r="G193">
        <v>1</v>
      </c>
      <c r="H193" s="3">
        <v>12020</v>
      </c>
      <c r="I193" s="3">
        <v>12020</v>
      </c>
      <c r="J193" t="s">
        <v>82</v>
      </c>
      <c r="K193" t="s">
        <v>83</v>
      </c>
      <c r="L193" s="3">
        <f>SUM(SalesData3[Sales Amount (PKR)])</f>
        <v>11946830</v>
      </c>
    </row>
    <row r="194" spans="1:12" ht="14.25" customHeight="1" x14ac:dyDescent="0.45">
      <c r="A194" t="s">
        <v>419</v>
      </c>
      <c r="B194" s="2" t="s">
        <v>269</v>
      </c>
      <c r="C194" t="s">
        <v>72</v>
      </c>
      <c r="D194" t="s">
        <v>73</v>
      </c>
      <c r="E194" t="s">
        <v>211</v>
      </c>
      <c r="F194" t="s">
        <v>123</v>
      </c>
      <c r="G194">
        <v>1</v>
      </c>
      <c r="H194" s="3">
        <v>12010</v>
      </c>
      <c r="I194" s="3">
        <v>12010</v>
      </c>
      <c r="J194" t="s">
        <v>82</v>
      </c>
      <c r="K194" t="s">
        <v>83</v>
      </c>
      <c r="L194" s="3">
        <f>SUM(SalesData3[Sales Amount (PKR)])</f>
        <v>11946830</v>
      </c>
    </row>
    <row r="195" spans="1:12" ht="14.25" customHeight="1" x14ac:dyDescent="0.45">
      <c r="A195" t="s">
        <v>420</v>
      </c>
      <c r="B195" s="2" t="s">
        <v>363</v>
      </c>
      <c r="C195" t="s">
        <v>96</v>
      </c>
      <c r="D195" t="s">
        <v>73</v>
      </c>
      <c r="E195" t="s">
        <v>211</v>
      </c>
      <c r="F195" t="s">
        <v>131</v>
      </c>
      <c r="G195">
        <v>1</v>
      </c>
      <c r="H195" s="3">
        <v>11990</v>
      </c>
      <c r="I195" s="3">
        <v>11990</v>
      </c>
      <c r="J195" t="s">
        <v>76</v>
      </c>
      <c r="K195" t="s">
        <v>77</v>
      </c>
      <c r="L195" s="3">
        <f>SUM(SalesData3[Sales Amount (PKR)])</f>
        <v>11946830</v>
      </c>
    </row>
    <row r="196" spans="1:12" ht="14.25" customHeight="1" x14ac:dyDescent="0.45">
      <c r="A196" t="s">
        <v>421</v>
      </c>
      <c r="B196" s="2" t="s">
        <v>422</v>
      </c>
      <c r="C196" t="s">
        <v>80</v>
      </c>
      <c r="D196" t="s">
        <v>73</v>
      </c>
      <c r="E196" t="s">
        <v>211</v>
      </c>
      <c r="F196" t="s">
        <v>97</v>
      </c>
      <c r="G196">
        <v>1</v>
      </c>
      <c r="H196" s="3">
        <v>11980</v>
      </c>
      <c r="I196" s="3">
        <v>11980</v>
      </c>
      <c r="J196" t="s">
        <v>82</v>
      </c>
      <c r="K196" t="s">
        <v>83</v>
      </c>
      <c r="L196" s="3">
        <f>SUM(SalesData3[Sales Amount (PKR)])</f>
        <v>11946830</v>
      </c>
    </row>
    <row r="197" spans="1:12" ht="14.25" customHeight="1" x14ac:dyDescent="0.45">
      <c r="A197" t="s">
        <v>423</v>
      </c>
      <c r="B197" s="2" t="s">
        <v>162</v>
      </c>
      <c r="C197" t="s">
        <v>96</v>
      </c>
      <c r="D197" t="s">
        <v>73</v>
      </c>
      <c r="E197" t="s">
        <v>211</v>
      </c>
      <c r="F197" t="s">
        <v>107</v>
      </c>
      <c r="G197">
        <v>1</v>
      </c>
      <c r="H197" s="3">
        <v>11980</v>
      </c>
      <c r="I197" s="3">
        <v>11980</v>
      </c>
      <c r="J197" t="s">
        <v>76</v>
      </c>
      <c r="K197" t="s">
        <v>77</v>
      </c>
      <c r="L197" s="3">
        <f>SUM(SalesData3[Sales Amount (PKR)])</f>
        <v>11946830</v>
      </c>
    </row>
    <row r="198" spans="1:12" ht="14.25" customHeight="1" x14ac:dyDescent="0.45">
      <c r="A198" t="s">
        <v>424</v>
      </c>
      <c r="B198" s="2" t="s">
        <v>298</v>
      </c>
      <c r="C198" t="s">
        <v>96</v>
      </c>
      <c r="D198" t="s">
        <v>73</v>
      </c>
      <c r="E198" t="s">
        <v>211</v>
      </c>
      <c r="F198" t="s">
        <v>131</v>
      </c>
      <c r="G198">
        <v>1</v>
      </c>
      <c r="H198" s="3">
        <v>11850</v>
      </c>
      <c r="I198" s="3">
        <v>11850</v>
      </c>
      <c r="J198" t="s">
        <v>76</v>
      </c>
      <c r="K198" t="s">
        <v>83</v>
      </c>
      <c r="L198" s="3">
        <f>SUM(SalesData3[Sales Amount (PKR)])</f>
        <v>11946830</v>
      </c>
    </row>
    <row r="199" spans="1:12" ht="14.25" customHeight="1" x14ac:dyDescent="0.45">
      <c r="A199" t="s">
        <v>425</v>
      </c>
      <c r="B199" s="2" t="s">
        <v>404</v>
      </c>
      <c r="C199" t="s">
        <v>89</v>
      </c>
      <c r="D199" t="s">
        <v>73</v>
      </c>
      <c r="E199" t="s">
        <v>211</v>
      </c>
      <c r="F199" t="s">
        <v>75</v>
      </c>
      <c r="G199">
        <v>1</v>
      </c>
      <c r="H199" s="3">
        <v>11840</v>
      </c>
      <c r="I199" s="3">
        <v>11840</v>
      </c>
      <c r="J199" t="s">
        <v>76</v>
      </c>
      <c r="K199" t="s">
        <v>93</v>
      </c>
      <c r="L199" s="3">
        <f>SUM(SalesData3[Sales Amount (PKR)])</f>
        <v>11946830</v>
      </c>
    </row>
    <row r="200" spans="1:12" ht="14.25" customHeight="1" x14ac:dyDescent="0.45">
      <c r="A200" t="s">
        <v>426</v>
      </c>
      <c r="B200" s="2" t="s">
        <v>125</v>
      </c>
      <c r="C200" t="s">
        <v>100</v>
      </c>
      <c r="D200" t="s">
        <v>73</v>
      </c>
      <c r="E200" t="s">
        <v>211</v>
      </c>
      <c r="F200" t="s">
        <v>90</v>
      </c>
      <c r="G200">
        <v>1</v>
      </c>
      <c r="H200" s="3">
        <v>11830</v>
      </c>
      <c r="I200" s="3">
        <v>11830</v>
      </c>
      <c r="J200" t="s">
        <v>76</v>
      </c>
      <c r="K200" t="s">
        <v>83</v>
      </c>
      <c r="L200" s="3">
        <f>SUM(SalesData3[Sales Amount (PKR)])</f>
        <v>11946830</v>
      </c>
    </row>
    <row r="201" spans="1:12" ht="14.25" customHeight="1" x14ac:dyDescent="0.45">
      <c r="A201" t="s">
        <v>427</v>
      </c>
      <c r="B201" s="2" t="s">
        <v>428</v>
      </c>
      <c r="C201" t="s">
        <v>96</v>
      </c>
      <c r="D201" t="s">
        <v>73</v>
      </c>
      <c r="E201" t="s">
        <v>211</v>
      </c>
      <c r="F201" t="s">
        <v>86</v>
      </c>
      <c r="G201">
        <v>1</v>
      </c>
      <c r="H201" s="3">
        <v>11820</v>
      </c>
      <c r="I201" s="3">
        <v>11820</v>
      </c>
      <c r="J201" t="s">
        <v>76</v>
      </c>
      <c r="K201" t="s">
        <v>93</v>
      </c>
      <c r="L201" s="3">
        <f>SUM(SalesData3[Sales Amount (PKR)])</f>
        <v>11946830</v>
      </c>
    </row>
    <row r="202" spans="1:12" ht="14.25" customHeight="1" x14ac:dyDescent="0.45">
      <c r="A202" t="s">
        <v>429</v>
      </c>
      <c r="B202" s="2" t="s">
        <v>430</v>
      </c>
      <c r="C202" t="s">
        <v>100</v>
      </c>
      <c r="D202" t="s">
        <v>73</v>
      </c>
      <c r="E202" t="s">
        <v>211</v>
      </c>
      <c r="F202" t="s">
        <v>131</v>
      </c>
      <c r="G202">
        <v>1</v>
      </c>
      <c r="H202" s="3">
        <v>11770</v>
      </c>
      <c r="I202" s="3">
        <v>11770</v>
      </c>
      <c r="J202" t="s">
        <v>82</v>
      </c>
      <c r="K202" t="s">
        <v>83</v>
      </c>
      <c r="L202" s="3">
        <f>SUM(SalesData3[Sales Amount (PKR)])</f>
        <v>11946830</v>
      </c>
    </row>
    <row r="203" spans="1:12" ht="14.25" customHeight="1" x14ac:dyDescent="0.45">
      <c r="A203" t="s">
        <v>431</v>
      </c>
      <c r="B203" s="2" t="s">
        <v>127</v>
      </c>
      <c r="C203" t="s">
        <v>96</v>
      </c>
      <c r="D203" t="s">
        <v>73</v>
      </c>
      <c r="E203" t="s">
        <v>211</v>
      </c>
      <c r="F203" t="s">
        <v>90</v>
      </c>
      <c r="G203">
        <v>1</v>
      </c>
      <c r="H203" s="3">
        <v>11730</v>
      </c>
      <c r="I203" s="3">
        <v>11730</v>
      </c>
      <c r="J203" t="s">
        <v>76</v>
      </c>
      <c r="K203" t="s">
        <v>83</v>
      </c>
      <c r="L203" s="3">
        <f>SUM(SalesData3[Sales Amount (PKR)])</f>
        <v>11946830</v>
      </c>
    </row>
    <row r="204" spans="1:12" ht="14.25" customHeight="1" x14ac:dyDescent="0.45">
      <c r="A204" t="s">
        <v>432</v>
      </c>
      <c r="B204" s="2" t="s">
        <v>137</v>
      </c>
      <c r="C204" t="s">
        <v>96</v>
      </c>
      <c r="D204" t="s">
        <v>334</v>
      </c>
      <c r="E204" t="s">
        <v>335</v>
      </c>
      <c r="F204" t="s">
        <v>97</v>
      </c>
      <c r="G204">
        <v>3</v>
      </c>
      <c r="H204" s="3">
        <v>3900</v>
      </c>
      <c r="I204" s="3">
        <v>11700</v>
      </c>
      <c r="J204" t="s">
        <v>76</v>
      </c>
      <c r="K204" t="s">
        <v>93</v>
      </c>
      <c r="L204" s="3">
        <f>SUM(SalesData3[Sales Amount (PKR)])</f>
        <v>11946830</v>
      </c>
    </row>
    <row r="205" spans="1:12" ht="14.25" customHeight="1" x14ac:dyDescent="0.45">
      <c r="A205" t="s">
        <v>433</v>
      </c>
      <c r="B205" s="2" t="s">
        <v>240</v>
      </c>
      <c r="C205" t="s">
        <v>96</v>
      </c>
      <c r="D205" t="s">
        <v>73</v>
      </c>
      <c r="E205" t="s">
        <v>211</v>
      </c>
      <c r="F205" t="s">
        <v>107</v>
      </c>
      <c r="G205">
        <v>1</v>
      </c>
      <c r="H205" s="3">
        <v>11670</v>
      </c>
      <c r="I205" s="3">
        <v>11670</v>
      </c>
      <c r="J205" t="s">
        <v>82</v>
      </c>
      <c r="K205" t="s">
        <v>83</v>
      </c>
      <c r="L205" s="3">
        <f>SUM(SalesData3[Sales Amount (PKR)])</f>
        <v>11946830</v>
      </c>
    </row>
    <row r="206" spans="1:12" ht="14.25" customHeight="1" x14ac:dyDescent="0.45">
      <c r="A206" t="s">
        <v>434</v>
      </c>
      <c r="B206" s="2" t="s">
        <v>103</v>
      </c>
      <c r="C206" t="s">
        <v>96</v>
      </c>
      <c r="D206" t="s">
        <v>73</v>
      </c>
      <c r="E206" t="s">
        <v>211</v>
      </c>
      <c r="F206" t="s">
        <v>90</v>
      </c>
      <c r="G206">
        <v>1</v>
      </c>
      <c r="H206" s="3">
        <v>11610</v>
      </c>
      <c r="I206" s="3">
        <v>11610</v>
      </c>
      <c r="J206" t="s">
        <v>76</v>
      </c>
      <c r="K206" t="s">
        <v>77</v>
      </c>
      <c r="L206" s="3">
        <f>SUM(SalesData3[Sales Amount (PKR)])</f>
        <v>11946830</v>
      </c>
    </row>
    <row r="207" spans="1:12" ht="14.25" customHeight="1" x14ac:dyDescent="0.45">
      <c r="A207" t="s">
        <v>435</v>
      </c>
      <c r="B207" s="2" t="s">
        <v>436</v>
      </c>
      <c r="C207" t="s">
        <v>100</v>
      </c>
      <c r="D207" t="s">
        <v>73</v>
      </c>
      <c r="E207" t="s">
        <v>211</v>
      </c>
      <c r="F207" t="s">
        <v>123</v>
      </c>
      <c r="G207">
        <v>1</v>
      </c>
      <c r="H207" s="3">
        <v>11560</v>
      </c>
      <c r="I207" s="3">
        <v>11560</v>
      </c>
      <c r="J207" t="s">
        <v>82</v>
      </c>
      <c r="K207" t="s">
        <v>83</v>
      </c>
      <c r="L207" s="3">
        <f>SUM(SalesData3[Sales Amount (PKR)])</f>
        <v>11946830</v>
      </c>
    </row>
    <row r="208" spans="1:12" ht="14.25" customHeight="1" x14ac:dyDescent="0.45">
      <c r="A208" t="s">
        <v>437</v>
      </c>
      <c r="B208" s="2" t="s">
        <v>148</v>
      </c>
      <c r="C208" t="s">
        <v>100</v>
      </c>
      <c r="D208" t="s">
        <v>73</v>
      </c>
      <c r="E208" t="s">
        <v>211</v>
      </c>
      <c r="F208" t="s">
        <v>75</v>
      </c>
      <c r="G208">
        <v>1</v>
      </c>
      <c r="H208" s="3">
        <v>11530</v>
      </c>
      <c r="I208" s="3">
        <v>11530</v>
      </c>
      <c r="J208" t="s">
        <v>82</v>
      </c>
      <c r="K208" t="s">
        <v>93</v>
      </c>
      <c r="L208" s="3">
        <f>SUM(SalesData3[Sales Amount (PKR)])</f>
        <v>11946830</v>
      </c>
    </row>
    <row r="209" spans="1:12" ht="14.25" customHeight="1" x14ac:dyDescent="0.45">
      <c r="A209" t="s">
        <v>438</v>
      </c>
      <c r="B209" s="2" t="s">
        <v>439</v>
      </c>
      <c r="C209" t="s">
        <v>89</v>
      </c>
      <c r="D209" t="s">
        <v>334</v>
      </c>
      <c r="E209" t="s">
        <v>335</v>
      </c>
      <c r="F209" t="s">
        <v>107</v>
      </c>
      <c r="G209">
        <v>3</v>
      </c>
      <c r="H209" s="3">
        <v>3760</v>
      </c>
      <c r="I209" s="3">
        <v>11280</v>
      </c>
      <c r="J209" t="s">
        <v>76</v>
      </c>
      <c r="K209" t="s">
        <v>83</v>
      </c>
      <c r="L209" s="3">
        <f>SUM(SalesData3[Sales Amount (PKR)])</f>
        <v>11946830</v>
      </c>
    </row>
    <row r="210" spans="1:12" ht="14.25" customHeight="1" x14ac:dyDescent="0.45">
      <c r="A210" t="s">
        <v>440</v>
      </c>
      <c r="B210" s="2" t="s">
        <v>269</v>
      </c>
      <c r="C210" t="s">
        <v>89</v>
      </c>
      <c r="D210" t="s">
        <v>73</v>
      </c>
      <c r="E210" t="s">
        <v>441</v>
      </c>
      <c r="F210" t="s">
        <v>131</v>
      </c>
      <c r="G210">
        <v>4</v>
      </c>
      <c r="H210" s="3">
        <v>2790</v>
      </c>
      <c r="I210" s="3">
        <v>11160</v>
      </c>
      <c r="J210" t="s">
        <v>76</v>
      </c>
      <c r="K210" t="s">
        <v>77</v>
      </c>
      <c r="L210" s="3">
        <f>SUM(SalesData3[Sales Amount (PKR)])</f>
        <v>11946830</v>
      </c>
    </row>
    <row r="211" spans="1:12" ht="14.25" customHeight="1" x14ac:dyDescent="0.45">
      <c r="A211" t="s">
        <v>442</v>
      </c>
      <c r="B211" s="2" t="s">
        <v>200</v>
      </c>
      <c r="C211" t="s">
        <v>72</v>
      </c>
      <c r="D211" t="s">
        <v>73</v>
      </c>
      <c r="E211" t="s">
        <v>443</v>
      </c>
      <c r="F211" t="s">
        <v>97</v>
      </c>
      <c r="G211">
        <v>3</v>
      </c>
      <c r="H211" s="3">
        <v>3550</v>
      </c>
      <c r="I211" s="3">
        <v>10650</v>
      </c>
      <c r="J211" t="s">
        <v>82</v>
      </c>
      <c r="K211" t="s">
        <v>83</v>
      </c>
      <c r="L211" s="3">
        <f>SUM(SalesData3[Sales Amount (PKR)])</f>
        <v>11946830</v>
      </c>
    </row>
    <row r="212" spans="1:12" ht="14.25" customHeight="1" x14ac:dyDescent="0.45">
      <c r="A212" t="s">
        <v>444</v>
      </c>
      <c r="B212" s="2" t="s">
        <v>445</v>
      </c>
      <c r="C212" t="s">
        <v>96</v>
      </c>
      <c r="D212" t="s">
        <v>398</v>
      </c>
      <c r="E212" t="s">
        <v>399</v>
      </c>
      <c r="F212" t="s">
        <v>123</v>
      </c>
      <c r="G212">
        <v>3</v>
      </c>
      <c r="H212" s="3">
        <v>3130</v>
      </c>
      <c r="I212" s="3">
        <v>9390</v>
      </c>
      <c r="J212" t="s">
        <v>82</v>
      </c>
      <c r="K212" t="s">
        <v>77</v>
      </c>
      <c r="L212" s="3">
        <f>SUM(SalesData3[Sales Amount (PKR)])</f>
        <v>11946830</v>
      </c>
    </row>
    <row r="213" spans="1:12" ht="14.25" customHeight="1" x14ac:dyDescent="0.45">
      <c r="A213" t="s">
        <v>446</v>
      </c>
      <c r="B213" s="2" t="s">
        <v>152</v>
      </c>
      <c r="C213" t="s">
        <v>96</v>
      </c>
      <c r="D213" t="s">
        <v>196</v>
      </c>
      <c r="E213" t="s">
        <v>300</v>
      </c>
      <c r="F213" t="s">
        <v>123</v>
      </c>
      <c r="G213">
        <v>2</v>
      </c>
      <c r="H213" s="3">
        <v>4650</v>
      </c>
      <c r="I213" s="3">
        <v>9300</v>
      </c>
      <c r="J213" t="s">
        <v>76</v>
      </c>
      <c r="K213" t="s">
        <v>83</v>
      </c>
      <c r="L213" s="3">
        <f>SUM(SalesData3[Sales Amount (PKR)])</f>
        <v>11946830</v>
      </c>
    </row>
    <row r="214" spans="1:12" ht="14.25" customHeight="1" x14ac:dyDescent="0.45">
      <c r="A214" t="s">
        <v>447</v>
      </c>
      <c r="B214" s="2" t="s">
        <v>240</v>
      </c>
      <c r="C214" t="s">
        <v>100</v>
      </c>
      <c r="D214" t="s">
        <v>398</v>
      </c>
      <c r="E214" t="s">
        <v>448</v>
      </c>
      <c r="F214" t="s">
        <v>75</v>
      </c>
      <c r="G214">
        <v>4</v>
      </c>
      <c r="H214" s="3">
        <v>2270</v>
      </c>
      <c r="I214" s="3">
        <v>9080</v>
      </c>
      <c r="J214" t="s">
        <v>82</v>
      </c>
      <c r="K214" t="s">
        <v>83</v>
      </c>
      <c r="L214" s="3">
        <f>SUM(SalesData3[Sales Amount (PKR)])</f>
        <v>11946830</v>
      </c>
    </row>
    <row r="215" spans="1:12" ht="14.25" customHeight="1" x14ac:dyDescent="0.45">
      <c r="A215" t="s">
        <v>449</v>
      </c>
      <c r="B215" s="2" t="s">
        <v>393</v>
      </c>
      <c r="C215" t="s">
        <v>89</v>
      </c>
      <c r="D215" t="s">
        <v>196</v>
      </c>
      <c r="E215" t="s">
        <v>300</v>
      </c>
      <c r="F215" t="s">
        <v>75</v>
      </c>
      <c r="G215">
        <v>2</v>
      </c>
      <c r="H215" s="3">
        <v>4530</v>
      </c>
      <c r="I215" s="3">
        <v>9060</v>
      </c>
      <c r="J215" t="s">
        <v>76</v>
      </c>
      <c r="K215" t="s">
        <v>83</v>
      </c>
      <c r="L215" s="3">
        <f>SUM(SalesData3[Sales Amount (PKR)])</f>
        <v>11946830</v>
      </c>
    </row>
    <row r="216" spans="1:12" ht="14.25" customHeight="1" x14ac:dyDescent="0.45">
      <c r="A216" t="s">
        <v>450</v>
      </c>
      <c r="B216" s="2" t="s">
        <v>381</v>
      </c>
      <c r="C216" t="s">
        <v>89</v>
      </c>
      <c r="D216" t="s">
        <v>196</v>
      </c>
      <c r="E216" t="s">
        <v>300</v>
      </c>
      <c r="F216" t="s">
        <v>123</v>
      </c>
      <c r="G216">
        <v>2</v>
      </c>
      <c r="H216" s="3">
        <v>4400</v>
      </c>
      <c r="I216" s="3">
        <v>8800</v>
      </c>
      <c r="J216" t="s">
        <v>76</v>
      </c>
      <c r="K216" t="s">
        <v>83</v>
      </c>
      <c r="L216" s="3">
        <f>SUM(SalesData3[Sales Amount (PKR)])</f>
        <v>11946830</v>
      </c>
    </row>
    <row r="217" spans="1:12" ht="14.25" customHeight="1" x14ac:dyDescent="0.45">
      <c r="A217" t="s">
        <v>451</v>
      </c>
      <c r="B217" s="2" t="s">
        <v>311</v>
      </c>
      <c r="C217" t="s">
        <v>89</v>
      </c>
      <c r="D217" t="s">
        <v>196</v>
      </c>
      <c r="E217" t="s">
        <v>300</v>
      </c>
      <c r="F217" t="s">
        <v>86</v>
      </c>
      <c r="G217">
        <v>2</v>
      </c>
      <c r="H217" s="3">
        <v>4340</v>
      </c>
      <c r="I217" s="3">
        <v>8680</v>
      </c>
      <c r="J217" t="s">
        <v>82</v>
      </c>
      <c r="K217" t="s">
        <v>83</v>
      </c>
      <c r="L217" s="3">
        <f>SUM(SalesData3[Sales Amount (PKR)])</f>
        <v>11946830</v>
      </c>
    </row>
    <row r="218" spans="1:12" ht="14.25" customHeight="1" x14ac:dyDescent="0.45">
      <c r="A218" t="s">
        <v>452</v>
      </c>
      <c r="B218" s="2" t="s">
        <v>453</v>
      </c>
      <c r="C218" t="s">
        <v>80</v>
      </c>
      <c r="D218" t="s">
        <v>334</v>
      </c>
      <c r="E218" t="s">
        <v>402</v>
      </c>
      <c r="F218" t="s">
        <v>86</v>
      </c>
      <c r="G218">
        <v>2</v>
      </c>
      <c r="H218" s="3">
        <v>4320</v>
      </c>
      <c r="I218" s="3">
        <v>8640</v>
      </c>
      <c r="J218" t="s">
        <v>76</v>
      </c>
      <c r="K218" t="s">
        <v>83</v>
      </c>
      <c r="L218" s="3">
        <f>SUM(SalesData3[Sales Amount (PKR)])</f>
        <v>11946830</v>
      </c>
    </row>
    <row r="219" spans="1:12" ht="14.25" customHeight="1" x14ac:dyDescent="0.45">
      <c r="A219" t="s">
        <v>454</v>
      </c>
      <c r="B219" s="2" t="s">
        <v>455</v>
      </c>
      <c r="C219" t="s">
        <v>72</v>
      </c>
      <c r="D219" t="s">
        <v>334</v>
      </c>
      <c r="E219" t="s">
        <v>402</v>
      </c>
      <c r="F219" t="s">
        <v>140</v>
      </c>
      <c r="G219">
        <v>2</v>
      </c>
      <c r="H219" s="3">
        <v>4230</v>
      </c>
      <c r="I219" s="3">
        <v>8460</v>
      </c>
      <c r="J219" t="s">
        <v>76</v>
      </c>
      <c r="K219" t="s">
        <v>77</v>
      </c>
      <c r="L219" s="3">
        <f>SUM(SalesData3[Sales Amount (PKR)])</f>
        <v>11946830</v>
      </c>
    </row>
    <row r="220" spans="1:12" ht="14.25" customHeight="1" x14ac:dyDescent="0.45">
      <c r="A220" t="s">
        <v>456</v>
      </c>
      <c r="B220" s="2" t="s">
        <v>150</v>
      </c>
      <c r="C220" t="s">
        <v>72</v>
      </c>
      <c r="D220" t="s">
        <v>334</v>
      </c>
      <c r="E220" t="s">
        <v>402</v>
      </c>
      <c r="F220" t="s">
        <v>107</v>
      </c>
      <c r="G220">
        <v>2</v>
      </c>
      <c r="H220" s="3">
        <v>4210</v>
      </c>
      <c r="I220" s="3">
        <v>8420</v>
      </c>
      <c r="J220" t="s">
        <v>82</v>
      </c>
      <c r="K220" t="s">
        <v>83</v>
      </c>
      <c r="L220" s="3">
        <f>SUM(SalesData3[Sales Amount (PKR)])</f>
        <v>11946830</v>
      </c>
    </row>
    <row r="221" spans="1:12" ht="14.25" customHeight="1" x14ac:dyDescent="0.45">
      <c r="A221" t="s">
        <v>457</v>
      </c>
      <c r="B221" s="2" t="s">
        <v>242</v>
      </c>
      <c r="C221" t="s">
        <v>72</v>
      </c>
      <c r="D221" t="s">
        <v>334</v>
      </c>
      <c r="E221" t="s">
        <v>402</v>
      </c>
      <c r="F221" t="s">
        <v>81</v>
      </c>
      <c r="G221">
        <v>2</v>
      </c>
      <c r="H221" s="3">
        <v>4170</v>
      </c>
      <c r="I221" s="3">
        <v>8340</v>
      </c>
      <c r="J221" t="s">
        <v>82</v>
      </c>
      <c r="K221" t="s">
        <v>77</v>
      </c>
      <c r="L221" s="3">
        <f>SUM(SalesData3[Sales Amount (PKR)])</f>
        <v>11946830</v>
      </c>
    </row>
    <row r="222" spans="1:12" ht="14.25" customHeight="1" x14ac:dyDescent="0.45">
      <c r="A222" t="s">
        <v>458</v>
      </c>
      <c r="B222" s="2" t="s">
        <v>164</v>
      </c>
      <c r="C222" t="s">
        <v>72</v>
      </c>
      <c r="D222" t="s">
        <v>334</v>
      </c>
      <c r="E222" t="s">
        <v>402</v>
      </c>
      <c r="F222" t="s">
        <v>117</v>
      </c>
      <c r="G222">
        <v>2</v>
      </c>
      <c r="H222" s="3">
        <v>4160</v>
      </c>
      <c r="I222" s="3">
        <v>8320</v>
      </c>
      <c r="J222" t="s">
        <v>76</v>
      </c>
      <c r="K222" t="s">
        <v>83</v>
      </c>
      <c r="L222" s="3">
        <f>SUM(SalesData3[Sales Amount (PKR)])</f>
        <v>11946830</v>
      </c>
    </row>
    <row r="223" spans="1:12" ht="14.25" customHeight="1" x14ac:dyDescent="0.45">
      <c r="A223" t="s">
        <v>459</v>
      </c>
      <c r="B223" s="2" t="s">
        <v>389</v>
      </c>
      <c r="C223" t="s">
        <v>100</v>
      </c>
      <c r="D223" t="s">
        <v>334</v>
      </c>
      <c r="E223" t="s">
        <v>402</v>
      </c>
      <c r="F223" t="s">
        <v>75</v>
      </c>
      <c r="G223">
        <v>2</v>
      </c>
      <c r="H223" s="3">
        <v>4120</v>
      </c>
      <c r="I223" s="3">
        <v>8240</v>
      </c>
      <c r="J223" t="s">
        <v>82</v>
      </c>
      <c r="K223" t="s">
        <v>93</v>
      </c>
      <c r="L223" s="3">
        <f>SUM(SalesData3[Sales Amount (PKR)])</f>
        <v>11946830</v>
      </c>
    </row>
    <row r="224" spans="1:12" ht="14.25" customHeight="1" x14ac:dyDescent="0.45">
      <c r="A224" t="s">
        <v>460</v>
      </c>
      <c r="B224" s="2" t="s">
        <v>324</v>
      </c>
      <c r="C224" t="s">
        <v>100</v>
      </c>
      <c r="D224" t="s">
        <v>334</v>
      </c>
      <c r="E224" t="s">
        <v>402</v>
      </c>
      <c r="F224" t="s">
        <v>86</v>
      </c>
      <c r="G224">
        <v>2</v>
      </c>
      <c r="H224" s="3">
        <v>4080</v>
      </c>
      <c r="I224" s="3">
        <v>8160</v>
      </c>
      <c r="J224" t="s">
        <v>76</v>
      </c>
      <c r="K224" t="s">
        <v>77</v>
      </c>
      <c r="L224" s="3">
        <f>SUM(SalesData3[Sales Amount (PKR)])</f>
        <v>11946830</v>
      </c>
    </row>
    <row r="225" spans="1:12" ht="14.25" customHeight="1" x14ac:dyDescent="0.45">
      <c r="A225" t="s">
        <v>461</v>
      </c>
      <c r="B225" s="2" t="s">
        <v>234</v>
      </c>
      <c r="C225" t="s">
        <v>96</v>
      </c>
      <c r="D225" t="s">
        <v>398</v>
      </c>
      <c r="E225" t="s">
        <v>462</v>
      </c>
      <c r="F225" t="s">
        <v>140</v>
      </c>
      <c r="G225">
        <v>4</v>
      </c>
      <c r="H225" s="3">
        <v>2030</v>
      </c>
      <c r="I225" s="3">
        <v>8120</v>
      </c>
      <c r="J225" t="s">
        <v>76</v>
      </c>
      <c r="K225" t="s">
        <v>83</v>
      </c>
      <c r="L225" s="3">
        <f>SUM(SalesData3[Sales Amount (PKR)])</f>
        <v>11946830</v>
      </c>
    </row>
    <row r="226" spans="1:12" ht="14.25" customHeight="1" x14ac:dyDescent="0.45">
      <c r="A226" t="s">
        <v>463</v>
      </c>
      <c r="B226" s="2" t="s">
        <v>150</v>
      </c>
      <c r="C226" t="s">
        <v>96</v>
      </c>
      <c r="D226" t="s">
        <v>398</v>
      </c>
      <c r="E226" t="s">
        <v>464</v>
      </c>
      <c r="F226" t="s">
        <v>123</v>
      </c>
      <c r="G226">
        <v>3</v>
      </c>
      <c r="H226" s="3">
        <v>2700</v>
      </c>
      <c r="I226" s="3">
        <v>8100</v>
      </c>
      <c r="J226" t="s">
        <v>76</v>
      </c>
      <c r="K226" t="s">
        <v>77</v>
      </c>
      <c r="L226" s="3">
        <f>SUM(SalesData3[Sales Amount (PKR)])</f>
        <v>11946830</v>
      </c>
    </row>
    <row r="227" spans="1:12" ht="14.25" customHeight="1" x14ac:dyDescent="0.45">
      <c r="A227" t="s">
        <v>465</v>
      </c>
      <c r="B227" s="2" t="s">
        <v>231</v>
      </c>
      <c r="C227" t="s">
        <v>80</v>
      </c>
      <c r="D227" t="s">
        <v>398</v>
      </c>
      <c r="E227" t="s">
        <v>464</v>
      </c>
      <c r="F227" t="s">
        <v>90</v>
      </c>
      <c r="G227">
        <v>3</v>
      </c>
      <c r="H227" s="3">
        <v>2650</v>
      </c>
      <c r="I227" s="3">
        <v>7950</v>
      </c>
      <c r="J227" t="s">
        <v>76</v>
      </c>
      <c r="K227" t="s">
        <v>77</v>
      </c>
      <c r="L227" s="3">
        <f>SUM(SalesData3[Sales Amount (PKR)])</f>
        <v>11946830</v>
      </c>
    </row>
    <row r="228" spans="1:12" ht="14.25" customHeight="1" x14ac:dyDescent="0.45">
      <c r="A228" t="s">
        <v>466</v>
      </c>
      <c r="B228" s="2" t="s">
        <v>467</v>
      </c>
      <c r="C228" t="s">
        <v>89</v>
      </c>
      <c r="D228" t="s">
        <v>334</v>
      </c>
      <c r="E228" t="s">
        <v>335</v>
      </c>
      <c r="F228" t="s">
        <v>81</v>
      </c>
      <c r="G228">
        <v>2</v>
      </c>
      <c r="H228" s="3">
        <v>3940</v>
      </c>
      <c r="I228" s="3">
        <v>7880</v>
      </c>
      <c r="J228" t="s">
        <v>76</v>
      </c>
      <c r="K228" t="s">
        <v>83</v>
      </c>
      <c r="L228" s="3">
        <f>SUM(SalesData3[Sales Amount (PKR)])</f>
        <v>11946830</v>
      </c>
    </row>
    <row r="229" spans="1:12" ht="14.25" customHeight="1" x14ac:dyDescent="0.45">
      <c r="A229" t="s">
        <v>468</v>
      </c>
      <c r="B229" s="2" t="s">
        <v>156</v>
      </c>
      <c r="C229" t="s">
        <v>100</v>
      </c>
      <c r="D229" t="s">
        <v>334</v>
      </c>
      <c r="E229" t="s">
        <v>335</v>
      </c>
      <c r="F229" t="s">
        <v>107</v>
      </c>
      <c r="G229">
        <v>2</v>
      </c>
      <c r="H229" s="3">
        <v>3870</v>
      </c>
      <c r="I229" s="3">
        <v>7740</v>
      </c>
      <c r="J229" t="s">
        <v>82</v>
      </c>
      <c r="K229" t="s">
        <v>83</v>
      </c>
      <c r="L229" s="3">
        <f>SUM(SalesData3[Sales Amount (PKR)])</f>
        <v>11946830</v>
      </c>
    </row>
    <row r="230" spans="1:12" ht="14.25" customHeight="1" x14ac:dyDescent="0.45">
      <c r="A230" t="s">
        <v>469</v>
      </c>
      <c r="B230" s="2" t="s">
        <v>190</v>
      </c>
      <c r="C230" t="s">
        <v>96</v>
      </c>
      <c r="D230" t="s">
        <v>334</v>
      </c>
      <c r="E230" t="s">
        <v>335</v>
      </c>
      <c r="F230" t="s">
        <v>123</v>
      </c>
      <c r="G230">
        <v>2</v>
      </c>
      <c r="H230" s="3">
        <v>3780</v>
      </c>
      <c r="I230" s="3">
        <v>7560</v>
      </c>
      <c r="J230" t="s">
        <v>76</v>
      </c>
      <c r="K230" t="s">
        <v>77</v>
      </c>
      <c r="L230" s="3">
        <f>SUM(SalesData3[Sales Amount (PKR)])</f>
        <v>11946830</v>
      </c>
    </row>
    <row r="231" spans="1:12" ht="14.25" customHeight="1" x14ac:dyDescent="0.45">
      <c r="A231" t="s">
        <v>470</v>
      </c>
      <c r="B231" s="2" t="s">
        <v>127</v>
      </c>
      <c r="C231" t="s">
        <v>89</v>
      </c>
      <c r="D231" t="s">
        <v>334</v>
      </c>
      <c r="E231" t="s">
        <v>335</v>
      </c>
      <c r="F231" t="s">
        <v>86</v>
      </c>
      <c r="G231">
        <v>2</v>
      </c>
      <c r="H231" s="3">
        <v>3720</v>
      </c>
      <c r="I231" s="3">
        <v>7440</v>
      </c>
      <c r="J231" t="s">
        <v>76</v>
      </c>
      <c r="K231" t="s">
        <v>83</v>
      </c>
      <c r="L231" s="3">
        <f>SUM(SalesData3[Sales Amount (PKR)])</f>
        <v>11946830</v>
      </c>
    </row>
    <row r="232" spans="1:12" ht="14.25" customHeight="1" x14ac:dyDescent="0.45">
      <c r="A232" t="s">
        <v>471</v>
      </c>
      <c r="B232" s="2" t="s">
        <v>298</v>
      </c>
      <c r="C232" t="s">
        <v>96</v>
      </c>
      <c r="D232" t="s">
        <v>472</v>
      </c>
      <c r="E232" t="s">
        <v>473</v>
      </c>
      <c r="F232" t="s">
        <v>90</v>
      </c>
      <c r="G232">
        <v>3</v>
      </c>
      <c r="H232" s="3">
        <v>2470</v>
      </c>
      <c r="I232" s="3">
        <v>7410</v>
      </c>
      <c r="J232" t="s">
        <v>82</v>
      </c>
      <c r="K232" t="s">
        <v>83</v>
      </c>
      <c r="L232" s="3">
        <f>SUM(SalesData3[Sales Amount (PKR)])</f>
        <v>11946830</v>
      </c>
    </row>
    <row r="233" spans="1:12" ht="14.25" customHeight="1" x14ac:dyDescent="0.45">
      <c r="A233" t="s">
        <v>474</v>
      </c>
      <c r="B233" s="2" t="s">
        <v>171</v>
      </c>
      <c r="C233" t="s">
        <v>96</v>
      </c>
      <c r="D233" t="s">
        <v>398</v>
      </c>
      <c r="E233" t="s">
        <v>475</v>
      </c>
      <c r="F233" t="s">
        <v>131</v>
      </c>
      <c r="G233">
        <v>4</v>
      </c>
      <c r="H233" s="3">
        <v>1850</v>
      </c>
      <c r="I233" s="3">
        <v>7400</v>
      </c>
      <c r="J233" t="s">
        <v>76</v>
      </c>
      <c r="K233" t="s">
        <v>77</v>
      </c>
      <c r="L233" s="3">
        <f>SUM(SalesData3[Sales Amount (PKR)])</f>
        <v>11946830</v>
      </c>
    </row>
    <row r="234" spans="1:12" ht="14.25" customHeight="1" x14ac:dyDescent="0.45">
      <c r="A234" t="s">
        <v>476</v>
      </c>
      <c r="B234" s="2" t="s">
        <v>369</v>
      </c>
      <c r="C234" t="s">
        <v>89</v>
      </c>
      <c r="D234" t="s">
        <v>334</v>
      </c>
      <c r="E234" t="s">
        <v>335</v>
      </c>
      <c r="F234" t="s">
        <v>97</v>
      </c>
      <c r="G234">
        <v>2</v>
      </c>
      <c r="H234" s="3">
        <v>3690</v>
      </c>
      <c r="I234" s="3">
        <v>7380</v>
      </c>
      <c r="J234" t="s">
        <v>82</v>
      </c>
      <c r="K234" t="s">
        <v>83</v>
      </c>
      <c r="L234" s="3">
        <f>SUM(SalesData3[Sales Amount (PKR)])</f>
        <v>11946830</v>
      </c>
    </row>
    <row r="235" spans="1:12" ht="14.25" customHeight="1" x14ac:dyDescent="0.45">
      <c r="A235" t="s">
        <v>477</v>
      </c>
      <c r="B235" s="2" t="s">
        <v>160</v>
      </c>
      <c r="C235" t="s">
        <v>96</v>
      </c>
      <c r="D235" t="s">
        <v>73</v>
      </c>
      <c r="E235" t="s">
        <v>443</v>
      </c>
      <c r="F235" t="s">
        <v>131</v>
      </c>
      <c r="G235">
        <v>2</v>
      </c>
      <c r="H235" s="3">
        <v>3590</v>
      </c>
      <c r="I235" s="3">
        <v>7180</v>
      </c>
      <c r="J235" t="s">
        <v>76</v>
      </c>
      <c r="K235" t="s">
        <v>83</v>
      </c>
      <c r="L235" s="3">
        <f>SUM(SalesData3[Sales Amount (PKR)])</f>
        <v>11946830</v>
      </c>
    </row>
    <row r="236" spans="1:12" ht="14.25" customHeight="1" x14ac:dyDescent="0.45">
      <c r="A236" t="s">
        <v>478</v>
      </c>
      <c r="B236" s="2" t="s">
        <v>71</v>
      </c>
      <c r="C236" t="s">
        <v>89</v>
      </c>
      <c r="D236" t="s">
        <v>73</v>
      </c>
      <c r="E236" t="s">
        <v>443</v>
      </c>
      <c r="F236" t="s">
        <v>123</v>
      </c>
      <c r="G236">
        <v>2</v>
      </c>
      <c r="H236" s="3">
        <v>3570</v>
      </c>
      <c r="I236" s="3">
        <v>7140</v>
      </c>
      <c r="J236" t="s">
        <v>76</v>
      </c>
      <c r="K236" t="s">
        <v>83</v>
      </c>
      <c r="L236" s="3">
        <f>SUM(SalesData3[Sales Amount (PKR)])</f>
        <v>11946830</v>
      </c>
    </row>
    <row r="237" spans="1:12" ht="14.25" customHeight="1" x14ac:dyDescent="0.45">
      <c r="A237" t="s">
        <v>479</v>
      </c>
      <c r="B237" s="2" t="s">
        <v>281</v>
      </c>
      <c r="C237" t="s">
        <v>96</v>
      </c>
      <c r="D237" t="s">
        <v>73</v>
      </c>
      <c r="E237" t="s">
        <v>443</v>
      </c>
      <c r="F237" t="s">
        <v>90</v>
      </c>
      <c r="G237">
        <v>2</v>
      </c>
      <c r="H237" s="3">
        <v>3560</v>
      </c>
      <c r="I237" s="3">
        <v>7120</v>
      </c>
      <c r="J237" t="s">
        <v>76</v>
      </c>
      <c r="K237" t="s">
        <v>83</v>
      </c>
      <c r="L237" s="3">
        <f>SUM(SalesData3[Sales Amount (PKR)])</f>
        <v>11946830</v>
      </c>
    </row>
    <row r="238" spans="1:12" ht="14.25" customHeight="1" x14ac:dyDescent="0.45">
      <c r="A238" t="s">
        <v>480</v>
      </c>
      <c r="B238" s="2" t="s">
        <v>481</v>
      </c>
      <c r="C238" t="s">
        <v>72</v>
      </c>
      <c r="D238" t="s">
        <v>73</v>
      </c>
      <c r="E238" t="s">
        <v>443</v>
      </c>
      <c r="F238" t="s">
        <v>86</v>
      </c>
      <c r="G238">
        <v>2</v>
      </c>
      <c r="H238" s="3">
        <v>3550</v>
      </c>
      <c r="I238" s="3">
        <v>7100</v>
      </c>
      <c r="J238" t="s">
        <v>76</v>
      </c>
      <c r="K238" t="s">
        <v>83</v>
      </c>
      <c r="L238" s="3">
        <f>SUM(SalesData3[Sales Amount (PKR)])</f>
        <v>11946830</v>
      </c>
    </row>
    <row r="239" spans="1:12" ht="14.25" customHeight="1" x14ac:dyDescent="0.45">
      <c r="A239" t="s">
        <v>482</v>
      </c>
      <c r="B239" s="2" t="s">
        <v>374</v>
      </c>
      <c r="C239" t="s">
        <v>80</v>
      </c>
      <c r="D239" t="s">
        <v>73</v>
      </c>
      <c r="E239" t="s">
        <v>443</v>
      </c>
      <c r="F239" t="s">
        <v>90</v>
      </c>
      <c r="G239">
        <v>2</v>
      </c>
      <c r="H239" s="3">
        <v>3520</v>
      </c>
      <c r="I239" s="3">
        <v>7040</v>
      </c>
      <c r="J239" t="s">
        <v>76</v>
      </c>
      <c r="K239" t="s">
        <v>83</v>
      </c>
      <c r="L239" s="3">
        <f>SUM(SalesData3[Sales Amount (PKR)])</f>
        <v>11946830</v>
      </c>
    </row>
    <row r="240" spans="1:12" ht="14.25" customHeight="1" x14ac:dyDescent="0.45">
      <c r="A240" t="s">
        <v>483</v>
      </c>
      <c r="B240" s="2" t="s">
        <v>213</v>
      </c>
      <c r="C240" t="s">
        <v>89</v>
      </c>
      <c r="D240" t="s">
        <v>73</v>
      </c>
      <c r="E240" t="s">
        <v>443</v>
      </c>
      <c r="F240" t="s">
        <v>75</v>
      </c>
      <c r="G240">
        <v>2</v>
      </c>
      <c r="H240" s="3">
        <v>3490</v>
      </c>
      <c r="I240" s="3">
        <v>6980</v>
      </c>
      <c r="J240" t="s">
        <v>76</v>
      </c>
      <c r="K240" t="s">
        <v>77</v>
      </c>
      <c r="L240" s="3">
        <f>SUM(SalesData3[Sales Amount (PKR)])</f>
        <v>11946830</v>
      </c>
    </row>
    <row r="241" spans="1:12" ht="14.25" customHeight="1" x14ac:dyDescent="0.45">
      <c r="A241" t="s">
        <v>484</v>
      </c>
      <c r="B241" s="2" t="s">
        <v>347</v>
      </c>
      <c r="C241" t="s">
        <v>100</v>
      </c>
      <c r="D241" t="s">
        <v>73</v>
      </c>
      <c r="E241" t="s">
        <v>443</v>
      </c>
      <c r="F241" t="s">
        <v>81</v>
      </c>
      <c r="G241">
        <v>2</v>
      </c>
      <c r="H241" s="3">
        <v>3450</v>
      </c>
      <c r="I241" s="3">
        <v>6900</v>
      </c>
      <c r="J241" t="s">
        <v>82</v>
      </c>
      <c r="K241" t="s">
        <v>83</v>
      </c>
      <c r="L241" s="3">
        <f>SUM(SalesData3[Sales Amount (PKR)])</f>
        <v>11946830</v>
      </c>
    </row>
    <row r="242" spans="1:12" ht="14.25" customHeight="1" x14ac:dyDescent="0.45">
      <c r="A242" t="s">
        <v>485</v>
      </c>
      <c r="B242" s="2" t="s">
        <v>179</v>
      </c>
      <c r="C242" t="s">
        <v>89</v>
      </c>
      <c r="D242" t="s">
        <v>73</v>
      </c>
      <c r="E242" t="s">
        <v>443</v>
      </c>
      <c r="F242" t="s">
        <v>107</v>
      </c>
      <c r="G242">
        <v>2</v>
      </c>
      <c r="H242" s="3">
        <v>3400</v>
      </c>
      <c r="I242" s="3">
        <v>6800</v>
      </c>
      <c r="J242" t="s">
        <v>82</v>
      </c>
      <c r="K242" t="s">
        <v>93</v>
      </c>
      <c r="L242" s="3">
        <f>SUM(SalesData3[Sales Amount (PKR)])</f>
        <v>11946830</v>
      </c>
    </row>
    <row r="243" spans="1:12" ht="14.25" customHeight="1" x14ac:dyDescent="0.45">
      <c r="A243" t="s">
        <v>486</v>
      </c>
      <c r="B243" s="2" t="s">
        <v>181</v>
      </c>
      <c r="C243" t="s">
        <v>100</v>
      </c>
      <c r="D243" t="s">
        <v>73</v>
      </c>
      <c r="E243" t="s">
        <v>443</v>
      </c>
      <c r="F243" t="s">
        <v>81</v>
      </c>
      <c r="G243">
        <v>2</v>
      </c>
      <c r="H243" s="3">
        <v>3390</v>
      </c>
      <c r="I243" s="3">
        <v>6780</v>
      </c>
      <c r="J243" t="s">
        <v>82</v>
      </c>
      <c r="K243" t="s">
        <v>83</v>
      </c>
      <c r="L243" s="3">
        <f>SUM(SalesData3[Sales Amount (PKR)])</f>
        <v>11946830</v>
      </c>
    </row>
    <row r="244" spans="1:12" ht="14.25" customHeight="1" x14ac:dyDescent="0.45">
      <c r="A244" t="s">
        <v>487</v>
      </c>
      <c r="B244" s="2" t="s">
        <v>365</v>
      </c>
      <c r="C244" t="s">
        <v>96</v>
      </c>
      <c r="D244" t="s">
        <v>73</v>
      </c>
      <c r="E244" t="s">
        <v>443</v>
      </c>
      <c r="F244" t="s">
        <v>140</v>
      </c>
      <c r="G244">
        <v>2</v>
      </c>
      <c r="H244" s="3">
        <v>3380</v>
      </c>
      <c r="I244" s="3">
        <v>6760</v>
      </c>
      <c r="J244" t="s">
        <v>76</v>
      </c>
      <c r="K244" t="s">
        <v>93</v>
      </c>
      <c r="L244" s="3">
        <f>SUM(SalesData3[Sales Amount (PKR)])</f>
        <v>11946830</v>
      </c>
    </row>
    <row r="245" spans="1:12" ht="14.25" customHeight="1" x14ac:dyDescent="0.45">
      <c r="A245" t="s">
        <v>488</v>
      </c>
      <c r="B245" s="2" t="s">
        <v>489</v>
      </c>
      <c r="C245" t="s">
        <v>89</v>
      </c>
      <c r="D245" t="s">
        <v>398</v>
      </c>
      <c r="E245" t="s">
        <v>399</v>
      </c>
      <c r="F245" t="s">
        <v>86</v>
      </c>
      <c r="G245">
        <v>2</v>
      </c>
      <c r="H245" s="3">
        <v>3300</v>
      </c>
      <c r="I245" s="3">
        <v>6600</v>
      </c>
      <c r="J245" t="s">
        <v>82</v>
      </c>
      <c r="K245" t="s">
        <v>77</v>
      </c>
      <c r="L245" s="3">
        <f>SUM(SalesData3[Sales Amount (PKR)])</f>
        <v>11946830</v>
      </c>
    </row>
    <row r="246" spans="1:12" ht="14.25" customHeight="1" x14ac:dyDescent="0.45">
      <c r="A246" t="s">
        <v>490</v>
      </c>
      <c r="B246" s="2" t="s">
        <v>491</v>
      </c>
      <c r="C246" t="s">
        <v>96</v>
      </c>
      <c r="D246" t="s">
        <v>398</v>
      </c>
      <c r="E246" t="s">
        <v>448</v>
      </c>
      <c r="F246" t="s">
        <v>97</v>
      </c>
      <c r="G246">
        <v>3</v>
      </c>
      <c r="H246" s="3">
        <v>2200</v>
      </c>
      <c r="I246" s="3">
        <v>6600</v>
      </c>
      <c r="J246" t="s">
        <v>82</v>
      </c>
      <c r="K246" t="s">
        <v>77</v>
      </c>
      <c r="L246" s="3">
        <f>SUM(SalesData3[Sales Amount (PKR)])</f>
        <v>11946830</v>
      </c>
    </row>
    <row r="247" spans="1:12" ht="14.25" customHeight="1" x14ac:dyDescent="0.45">
      <c r="A247" t="s">
        <v>492</v>
      </c>
      <c r="B247" s="2" t="s">
        <v>173</v>
      </c>
      <c r="C247" t="s">
        <v>89</v>
      </c>
      <c r="D247" t="s">
        <v>398</v>
      </c>
      <c r="E247" t="s">
        <v>399</v>
      </c>
      <c r="F247" t="s">
        <v>90</v>
      </c>
      <c r="G247">
        <v>2</v>
      </c>
      <c r="H247" s="3">
        <v>3280</v>
      </c>
      <c r="I247" s="3">
        <v>6560</v>
      </c>
      <c r="J247" t="s">
        <v>82</v>
      </c>
      <c r="K247" t="s">
        <v>77</v>
      </c>
      <c r="L247" s="3">
        <f>SUM(SalesData3[Sales Amount (PKR)])</f>
        <v>11946830</v>
      </c>
    </row>
    <row r="248" spans="1:12" ht="14.25" customHeight="1" x14ac:dyDescent="0.45">
      <c r="A248" t="s">
        <v>493</v>
      </c>
      <c r="B248" s="2" t="s">
        <v>416</v>
      </c>
      <c r="C248" t="s">
        <v>96</v>
      </c>
      <c r="D248" t="s">
        <v>398</v>
      </c>
      <c r="E248" t="s">
        <v>399</v>
      </c>
      <c r="F248" t="s">
        <v>107</v>
      </c>
      <c r="G248">
        <v>2</v>
      </c>
      <c r="H248" s="3">
        <v>3250</v>
      </c>
      <c r="I248" s="3">
        <v>6500</v>
      </c>
      <c r="J248" t="s">
        <v>76</v>
      </c>
      <c r="K248" t="s">
        <v>93</v>
      </c>
      <c r="L248" s="3">
        <f>SUM(SalesData3[Sales Amount (PKR)])</f>
        <v>11946830</v>
      </c>
    </row>
    <row r="249" spans="1:12" ht="14.25" customHeight="1" x14ac:dyDescent="0.45">
      <c r="A249" t="s">
        <v>494</v>
      </c>
      <c r="B249" s="2" t="s">
        <v>385</v>
      </c>
      <c r="C249" t="s">
        <v>89</v>
      </c>
      <c r="D249" t="s">
        <v>398</v>
      </c>
      <c r="E249" t="s">
        <v>399</v>
      </c>
      <c r="F249" t="s">
        <v>90</v>
      </c>
      <c r="G249">
        <v>2</v>
      </c>
      <c r="H249" s="3">
        <v>3230</v>
      </c>
      <c r="I249" s="3">
        <v>6460</v>
      </c>
      <c r="J249" t="s">
        <v>82</v>
      </c>
      <c r="K249" t="s">
        <v>83</v>
      </c>
      <c r="L249" s="3">
        <f>SUM(SalesData3[Sales Amount (PKR)])</f>
        <v>11946830</v>
      </c>
    </row>
    <row r="250" spans="1:12" ht="14.25" customHeight="1" x14ac:dyDescent="0.45">
      <c r="A250" t="s">
        <v>495</v>
      </c>
      <c r="B250" s="2" t="s">
        <v>194</v>
      </c>
      <c r="C250" t="s">
        <v>100</v>
      </c>
      <c r="D250" t="s">
        <v>398</v>
      </c>
      <c r="E250" t="s">
        <v>399</v>
      </c>
      <c r="F250" t="s">
        <v>117</v>
      </c>
      <c r="G250">
        <v>2</v>
      </c>
      <c r="H250" s="3">
        <v>3220</v>
      </c>
      <c r="I250" s="3">
        <v>6440</v>
      </c>
      <c r="J250" t="s">
        <v>76</v>
      </c>
      <c r="K250" t="s">
        <v>83</v>
      </c>
      <c r="L250" s="3">
        <f>SUM(SalesData3[Sales Amount (PKR)])</f>
        <v>11946830</v>
      </c>
    </row>
    <row r="251" spans="1:12" ht="14.25" customHeight="1" x14ac:dyDescent="0.45">
      <c r="A251" t="s">
        <v>496</v>
      </c>
      <c r="B251" s="2" t="s">
        <v>130</v>
      </c>
      <c r="C251" t="s">
        <v>96</v>
      </c>
      <c r="D251" t="s">
        <v>472</v>
      </c>
      <c r="E251" t="s">
        <v>497</v>
      </c>
      <c r="F251" t="s">
        <v>75</v>
      </c>
      <c r="G251">
        <v>2</v>
      </c>
      <c r="H251" s="3">
        <v>3220</v>
      </c>
      <c r="I251" s="3">
        <v>6440</v>
      </c>
      <c r="J251" t="s">
        <v>82</v>
      </c>
      <c r="K251" t="s">
        <v>83</v>
      </c>
      <c r="L251" s="3">
        <f>SUM(SalesData3[Sales Amount (PKR)])</f>
        <v>11946830</v>
      </c>
    </row>
    <row r="252" spans="1:12" ht="14.25" customHeight="1" x14ac:dyDescent="0.45">
      <c r="A252" t="s">
        <v>498</v>
      </c>
      <c r="B252" s="2" t="s">
        <v>242</v>
      </c>
      <c r="C252" t="s">
        <v>96</v>
      </c>
      <c r="D252" t="s">
        <v>398</v>
      </c>
      <c r="E252" t="s">
        <v>399</v>
      </c>
      <c r="F252" t="s">
        <v>81</v>
      </c>
      <c r="G252">
        <v>2</v>
      </c>
      <c r="H252" s="3">
        <v>3200</v>
      </c>
      <c r="I252" s="3">
        <v>6400</v>
      </c>
      <c r="J252" t="s">
        <v>76</v>
      </c>
      <c r="K252" t="s">
        <v>83</v>
      </c>
      <c r="L252" s="3">
        <f>SUM(SalesData3[Sales Amount (PKR)])</f>
        <v>11946830</v>
      </c>
    </row>
    <row r="253" spans="1:12" ht="14.25" customHeight="1" x14ac:dyDescent="0.45">
      <c r="A253" t="s">
        <v>499</v>
      </c>
      <c r="B253" s="2" t="s">
        <v>152</v>
      </c>
      <c r="C253" t="s">
        <v>89</v>
      </c>
      <c r="D253" t="s">
        <v>472</v>
      </c>
      <c r="E253" t="s">
        <v>500</v>
      </c>
      <c r="F253" t="s">
        <v>140</v>
      </c>
      <c r="G253">
        <v>4</v>
      </c>
      <c r="H253" s="3">
        <v>1600</v>
      </c>
      <c r="I253" s="3">
        <v>6400</v>
      </c>
      <c r="J253" t="s">
        <v>82</v>
      </c>
      <c r="K253" t="s">
        <v>83</v>
      </c>
      <c r="L253" s="3">
        <f>SUM(SalesData3[Sales Amount (PKR)])</f>
        <v>11946830</v>
      </c>
    </row>
    <row r="254" spans="1:12" ht="14.25" customHeight="1" x14ac:dyDescent="0.45">
      <c r="A254" t="s">
        <v>501</v>
      </c>
      <c r="B254" s="2" t="s">
        <v>502</v>
      </c>
      <c r="C254" t="s">
        <v>100</v>
      </c>
      <c r="D254" t="s">
        <v>398</v>
      </c>
      <c r="E254" t="s">
        <v>462</v>
      </c>
      <c r="F254" t="s">
        <v>123</v>
      </c>
      <c r="G254">
        <v>3</v>
      </c>
      <c r="H254" s="3">
        <v>2130</v>
      </c>
      <c r="I254" s="3">
        <v>6390</v>
      </c>
      <c r="J254" t="s">
        <v>76</v>
      </c>
      <c r="K254" t="s">
        <v>77</v>
      </c>
      <c r="L254" s="3">
        <f>SUM(SalesData3[Sales Amount (PKR)])</f>
        <v>11946830</v>
      </c>
    </row>
    <row r="255" spans="1:12" ht="14.25" customHeight="1" x14ac:dyDescent="0.45">
      <c r="A255" t="s">
        <v>503</v>
      </c>
      <c r="B255" s="2" t="s">
        <v>251</v>
      </c>
      <c r="C255" t="s">
        <v>96</v>
      </c>
      <c r="D255" t="s">
        <v>398</v>
      </c>
      <c r="E255" t="s">
        <v>448</v>
      </c>
      <c r="F255" t="s">
        <v>90</v>
      </c>
      <c r="G255">
        <v>3</v>
      </c>
      <c r="H255" s="3">
        <v>2120</v>
      </c>
      <c r="I255" s="3">
        <v>6360</v>
      </c>
      <c r="J255" t="s">
        <v>76</v>
      </c>
      <c r="K255" t="s">
        <v>93</v>
      </c>
      <c r="L255" s="3">
        <f>SUM(SalesData3[Sales Amount (PKR)])</f>
        <v>11946830</v>
      </c>
    </row>
    <row r="256" spans="1:12" ht="14.25" customHeight="1" x14ac:dyDescent="0.45">
      <c r="A256" t="s">
        <v>504</v>
      </c>
      <c r="B256" s="2" t="s">
        <v>160</v>
      </c>
      <c r="C256" t="s">
        <v>89</v>
      </c>
      <c r="D256" t="s">
        <v>472</v>
      </c>
      <c r="E256" t="s">
        <v>497</v>
      </c>
      <c r="F256" t="s">
        <v>90</v>
      </c>
      <c r="G256">
        <v>2</v>
      </c>
      <c r="H256" s="3">
        <v>3180</v>
      </c>
      <c r="I256" s="3">
        <v>6360</v>
      </c>
      <c r="J256" t="s">
        <v>82</v>
      </c>
      <c r="K256" t="s">
        <v>83</v>
      </c>
      <c r="L256" s="3">
        <f>SUM(SalesData3[Sales Amount (PKR)])</f>
        <v>11946830</v>
      </c>
    </row>
    <row r="257" spans="1:12" ht="14.25" customHeight="1" x14ac:dyDescent="0.45">
      <c r="A257" t="s">
        <v>505</v>
      </c>
      <c r="B257" s="2" t="s">
        <v>491</v>
      </c>
      <c r="C257" t="s">
        <v>96</v>
      </c>
      <c r="D257" t="s">
        <v>398</v>
      </c>
      <c r="E257" t="s">
        <v>399</v>
      </c>
      <c r="F257" t="s">
        <v>81</v>
      </c>
      <c r="G257">
        <v>2</v>
      </c>
      <c r="H257" s="3">
        <v>3170</v>
      </c>
      <c r="I257" s="3">
        <v>6340</v>
      </c>
      <c r="J257" t="s">
        <v>76</v>
      </c>
      <c r="K257" t="s">
        <v>93</v>
      </c>
      <c r="L257" s="3">
        <f>SUM(SalesData3[Sales Amount (PKR)])</f>
        <v>11946830</v>
      </c>
    </row>
    <row r="258" spans="1:12" ht="14.25" customHeight="1" x14ac:dyDescent="0.45">
      <c r="A258" t="s">
        <v>506</v>
      </c>
      <c r="B258" s="2" t="s">
        <v>414</v>
      </c>
      <c r="C258" t="s">
        <v>96</v>
      </c>
      <c r="D258" t="s">
        <v>398</v>
      </c>
      <c r="E258" t="s">
        <v>399</v>
      </c>
      <c r="F258" t="s">
        <v>131</v>
      </c>
      <c r="G258">
        <v>2</v>
      </c>
      <c r="H258" s="3">
        <v>3170</v>
      </c>
      <c r="I258" s="3">
        <v>6340</v>
      </c>
      <c r="J258" t="s">
        <v>82</v>
      </c>
      <c r="K258" t="s">
        <v>93</v>
      </c>
      <c r="L258" s="3">
        <f>SUM(SalesData3[Sales Amount (PKR)])</f>
        <v>11946830</v>
      </c>
    </row>
    <row r="259" spans="1:12" ht="14.25" customHeight="1" x14ac:dyDescent="0.45">
      <c r="A259" t="s">
        <v>507</v>
      </c>
      <c r="B259" s="2" t="s">
        <v>363</v>
      </c>
      <c r="C259" t="s">
        <v>80</v>
      </c>
      <c r="D259" t="s">
        <v>398</v>
      </c>
      <c r="E259" t="s">
        <v>448</v>
      </c>
      <c r="F259" t="s">
        <v>117</v>
      </c>
      <c r="G259">
        <v>3</v>
      </c>
      <c r="H259" s="3">
        <v>2110</v>
      </c>
      <c r="I259" s="3">
        <v>6330</v>
      </c>
      <c r="J259" t="s">
        <v>82</v>
      </c>
      <c r="K259" t="s">
        <v>83</v>
      </c>
      <c r="L259" s="3">
        <f>SUM(SalesData3[Sales Amount (PKR)])</f>
        <v>11946830</v>
      </c>
    </row>
    <row r="260" spans="1:12" ht="14.25" customHeight="1" x14ac:dyDescent="0.45">
      <c r="A260" t="s">
        <v>508</v>
      </c>
      <c r="B260" s="2" t="s">
        <v>509</v>
      </c>
      <c r="C260" t="s">
        <v>72</v>
      </c>
      <c r="D260" t="s">
        <v>472</v>
      </c>
      <c r="E260" t="s">
        <v>497</v>
      </c>
      <c r="F260" t="s">
        <v>117</v>
      </c>
      <c r="G260">
        <v>2</v>
      </c>
      <c r="H260" s="3">
        <v>3150</v>
      </c>
      <c r="I260" s="3">
        <v>6300</v>
      </c>
      <c r="J260" t="s">
        <v>82</v>
      </c>
      <c r="K260" t="s">
        <v>93</v>
      </c>
      <c r="L260" s="3">
        <f>SUM(SalesData3[Sales Amount (PKR)])</f>
        <v>11946830</v>
      </c>
    </row>
    <row r="261" spans="1:12" ht="14.25" customHeight="1" x14ac:dyDescent="0.45">
      <c r="A261" t="s">
        <v>510</v>
      </c>
      <c r="B261" s="2" t="s">
        <v>158</v>
      </c>
      <c r="C261" t="s">
        <v>89</v>
      </c>
      <c r="D261" t="s">
        <v>472</v>
      </c>
      <c r="E261" t="s">
        <v>500</v>
      </c>
      <c r="F261" t="s">
        <v>140</v>
      </c>
      <c r="G261">
        <v>4</v>
      </c>
      <c r="H261" s="3">
        <v>1570</v>
      </c>
      <c r="I261" s="3">
        <v>6280</v>
      </c>
      <c r="J261" t="s">
        <v>76</v>
      </c>
      <c r="K261" t="s">
        <v>83</v>
      </c>
      <c r="L261" s="3">
        <f>SUM(SalesData3[Sales Amount (PKR)])</f>
        <v>11946830</v>
      </c>
    </row>
    <row r="262" spans="1:12" ht="14.25" customHeight="1" x14ac:dyDescent="0.45">
      <c r="A262" t="s">
        <v>511</v>
      </c>
      <c r="B262" s="2" t="s">
        <v>119</v>
      </c>
      <c r="C262" t="s">
        <v>89</v>
      </c>
      <c r="D262" t="s">
        <v>472</v>
      </c>
      <c r="E262" t="s">
        <v>497</v>
      </c>
      <c r="F262" t="s">
        <v>131</v>
      </c>
      <c r="G262">
        <v>2</v>
      </c>
      <c r="H262" s="3">
        <v>3130</v>
      </c>
      <c r="I262" s="3">
        <v>6260</v>
      </c>
      <c r="J262" t="s">
        <v>82</v>
      </c>
      <c r="K262" t="s">
        <v>77</v>
      </c>
      <c r="L262" s="3">
        <f>SUM(SalesData3[Sales Amount (PKR)])</f>
        <v>11946830</v>
      </c>
    </row>
    <row r="263" spans="1:12" ht="14.25" customHeight="1" x14ac:dyDescent="0.45">
      <c r="A263" t="s">
        <v>512</v>
      </c>
      <c r="B263" s="2" t="s">
        <v>513</v>
      </c>
      <c r="C263" t="s">
        <v>89</v>
      </c>
      <c r="D263" t="s">
        <v>398</v>
      </c>
      <c r="E263" t="s">
        <v>462</v>
      </c>
      <c r="F263" t="s">
        <v>90</v>
      </c>
      <c r="G263">
        <v>3</v>
      </c>
      <c r="H263" s="3">
        <v>2080</v>
      </c>
      <c r="I263" s="3">
        <v>6240</v>
      </c>
      <c r="J263" t="s">
        <v>82</v>
      </c>
      <c r="K263" t="s">
        <v>77</v>
      </c>
      <c r="L263" s="3">
        <f>SUM(SalesData3[Sales Amount (PKR)])</f>
        <v>11946830</v>
      </c>
    </row>
    <row r="264" spans="1:12" ht="14.25" customHeight="1" x14ac:dyDescent="0.45">
      <c r="A264" t="s">
        <v>514</v>
      </c>
      <c r="B264" s="2" t="s">
        <v>142</v>
      </c>
      <c r="C264" t="s">
        <v>89</v>
      </c>
      <c r="D264" t="s">
        <v>334</v>
      </c>
      <c r="E264" t="s">
        <v>515</v>
      </c>
      <c r="F264" t="s">
        <v>131</v>
      </c>
      <c r="G264">
        <v>4</v>
      </c>
      <c r="H264" s="3">
        <v>1550</v>
      </c>
      <c r="I264" s="3">
        <v>6200</v>
      </c>
      <c r="J264" t="s">
        <v>82</v>
      </c>
      <c r="K264" t="s">
        <v>83</v>
      </c>
      <c r="L264" s="3">
        <f>SUM(SalesData3[Sales Amount (PKR)])</f>
        <v>11946830</v>
      </c>
    </row>
    <row r="265" spans="1:12" ht="14.25" customHeight="1" x14ac:dyDescent="0.45">
      <c r="A265" t="s">
        <v>516</v>
      </c>
      <c r="B265" s="2" t="s">
        <v>517</v>
      </c>
      <c r="C265" t="s">
        <v>96</v>
      </c>
      <c r="D265" t="s">
        <v>334</v>
      </c>
      <c r="E265" t="s">
        <v>515</v>
      </c>
      <c r="F265" t="s">
        <v>140</v>
      </c>
      <c r="G265">
        <v>4</v>
      </c>
      <c r="H265" s="3">
        <v>1550</v>
      </c>
      <c r="I265" s="3">
        <v>6200</v>
      </c>
      <c r="J265" t="s">
        <v>76</v>
      </c>
      <c r="K265" t="s">
        <v>83</v>
      </c>
      <c r="L265" s="3">
        <f>SUM(SalesData3[Sales Amount (PKR)])</f>
        <v>11946830</v>
      </c>
    </row>
    <row r="266" spans="1:12" ht="14.25" customHeight="1" x14ac:dyDescent="0.45">
      <c r="A266" t="s">
        <v>518</v>
      </c>
      <c r="B266" s="2" t="s">
        <v>491</v>
      </c>
      <c r="C266" t="s">
        <v>96</v>
      </c>
      <c r="D266" t="s">
        <v>472</v>
      </c>
      <c r="E266" t="s">
        <v>497</v>
      </c>
      <c r="F266" t="s">
        <v>117</v>
      </c>
      <c r="G266">
        <v>2</v>
      </c>
      <c r="H266" s="3">
        <v>3070</v>
      </c>
      <c r="I266" s="3">
        <v>6140</v>
      </c>
      <c r="J266" t="s">
        <v>82</v>
      </c>
      <c r="K266" t="s">
        <v>83</v>
      </c>
      <c r="L266" s="3">
        <f>SUM(SalesData3[Sales Amount (PKR)])</f>
        <v>11946830</v>
      </c>
    </row>
    <row r="267" spans="1:12" ht="14.25" customHeight="1" x14ac:dyDescent="0.45">
      <c r="A267" t="s">
        <v>519</v>
      </c>
      <c r="B267" s="2" t="s">
        <v>489</v>
      </c>
      <c r="C267" t="s">
        <v>100</v>
      </c>
      <c r="D267" t="s">
        <v>472</v>
      </c>
      <c r="E267" t="s">
        <v>497</v>
      </c>
      <c r="F267" t="s">
        <v>140</v>
      </c>
      <c r="G267">
        <v>2</v>
      </c>
      <c r="H267" s="3">
        <v>3070</v>
      </c>
      <c r="I267" s="3">
        <v>6140</v>
      </c>
      <c r="J267" t="s">
        <v>76</v>
      </c>
      <c r="K267" t="s">
        <v>83</v>
      </c>
      <c r="L267" s="3">
        <f>SUM(SalesData3[Sales Amount (PKR)])</f>
        <v>11946830</v>
      </c>
    </row>
    <row r="268" spans="1:12" ht="14.25" customHeight="1" x14ac:dyDescent="0.45">
      <c r="A268" t="s">
        <v>520</v>
      </c>
      <c r="B268" s="2" t="s">
        <v>225</v>
      </c>
      <c r="C268" t="s">
        <v>100</v>
      </c>
      <c r="D268" t="s">
        <v>472</v>
      </c>
      <c r="E268" t="s">
        <v>497</v>
      </c>
      <c r="F268" t="s">
        <v>90</v>
      </c>
      <c r="G268">
        <v>2</v>
      </c>
      <c r="H268" s="3">
        <v>3020</v>
      </c>
      <c r="I268" s="3">
        <v>6040</v>
      </c>
      <c r="J268" t="s">
        <v>82</v>
      </c>
      <c r="K268" t="s">
        <v>83</v>
      </c>
      <c r="L268" s="3">
        <f>SUM(SalesData3[Sales Amount (PKR)])</f>
        <v>11946830</v>
      </c>
    </row>
    <row r="269" spans="1:12" ht="14.25" customHeight="1" x14ac:dyDescent="0.45">
      <c r="A269" t="s">
        <v>521</v>
      </c>
      <c r="B269" s="2" t="s">
        <v>522</v>
      </c>
      <c r="C269" t="s">
        <v>96</v>
      </c>
      <c r="D269" t="s">
        <v>472</v>
      </c>
      <c r="E269" t="s">
        <v>497</v>
      </c>
      <c r="F269" t="s">
        <v>107</v>
      </c>
      <c r="G269">
        <v>2</v>
      </c>
      <c r="H269" s="3">
        <v>3020</v>
      </c>
      <c r="I269" s="3">
        <v>6040</v>
      </c>
      <c r="J269" t="s">
        <v>82</v>
      </c>
      <c r="K269" t="s">
        <v>83</v>
      </c>
      <c r="L269" s="3">
        <f>SUM(SalesData3[Sales Amount (PKR)])</f>
        <v>11946830</v>
      </c>
    </row>
    <row r="270" spans="1:12" ht="14.25" customHeight="1" x14ac:dyDescent="0.45">
      <c r="A270" t="s">
        <v>523</v>
      </c>
      <c r="B270" s="2" t="s">
        <v>261</v>
      </c>
      <c r="C270" t="s">
        <v>96</v>
      </c>
      <c r="D270" t="s">
        <v>472</v>
      </c>
      <c r="E270" t="s">
        <v>497</v>
      </c>
      <c r="F270" t="s">
        <v>123</v>
      </c>
      <c r="G270">
        <v>2</v>
      </c>
      <c r="H270" s="3">
        <v>3000</v>
      </c>
      <c r="I270" s="3">
        <v>6000</v>
      </c>
      <c r="J270" t="s">
        <v>76</v>
      </c>
      <c r="K270" t="s">
        <v>77</v>
      </c>
      <c r="L270" s="3">
        <f>SUM(SalesData3[Sales Amount (PKR)])</f>
        <v>11946830</v>
      </c>
    </row>
    <row r="271" spans="1:12" ht="14.25" customHeight="1" x14ac:dyDescent="0.45">
      <c r="A271" t="s">
        <v>524</v>
      </c>
      <c r="B271" s="2" t="s">
        <v>234</v>
      </c>
      <c r="C271" t="s">
        <v>100</v>
      </c>
      <c r="D271" t="s">
        <v>73</v>
      </c>
      <c r="E271" t="s">
        <v>441</v>
      </c>
      <c r="F271" t="s">
        <v>86</v>
      </c>
      <c r="G271">
        <v>2</v>
      </c>
      <c r="H271" s="3">
        <v>2860</v>
      </c>
      <c r="I271" s="3">
        <v>5720</v>
      </c>
      <c r="J271" t="s">
        <v>76</v>
      </c>
      <c r="K271" t="s">
        <v>83</v>
      </c>
      <c r="L271" s="3">
        <f>SUM(SalesData3[Sales Amount (PKR)])</f>
        <v>11946830</v>
      </c>
    </row>
    <row r="272" spans="1:12" ht="14.25" customHeight="1" x14ac:dyDescent="0.45">
      <c r="A272" t="s">
        <v>525</v>
      </c>
      <c r="B272" s="2" t="s">
        <v>526</v>
      </c>
      <c r="C272" t="s">
        <v>100</v>
      </c>
      <c r="D272" t="s">
        <v>334</v>
      </c>
      <c r="E272" t="s">
        <v>527</v>
      </c>
      <c r="F272" t="s">
        <v>97</v>
      </c>
      <c r="G272">
        <v>3</v>
      </c>
      <c r="H272" s="3">
        <v>1900</v>
      </c>
      <c r="I272" s="3">
        <v>5700</v>
      </c>
      <c r="J272" t="s">
        <v>76</v>
      </c>
      <c r="K272" t="s">
        <v>93</v>
      </c>
      <c r="L272" s="3">
        <f>SUM(SalesData3[Sales Amount (PKR)])</f>
        <v>11946830</v>
      </c>
    </row>
    <row r="273" spans="1:12" ht="14.25" customHeight="1" x14ac:dyDescent="0.45">
      <c r="A273" t="s">
        <v>528</v>
      </c>
      <c r="B273" s="2" t="s">
        <v>329</v>
      </c>
      <c r="C273" t="s">
        <v>96</v>
      </c>
      <c r="D273" t="s">
        <v>73</v>
      </c>
      <c r="E273" t="s">
        <v>441</v>
      </c>
      <c r="F273" t="s">
        <v>75</v>
      </c>
      <c r="G273">
        <v>2</v>
      </c>
      <c r="H273" s="3">
        <v>2850</v>
      </c>
      <c r="I273" s="3">
        <v>5700</v>
      </c>
      <c r="J273" t="s">
        <v>76</v>
      </c>
      <c r="K273" t="s">
        <v>83</v>
      </c>
      <c r="L273" s="3">
        <f>SUM(SalesData3[Sales Amount (PKR)])</f>
        <v>11946830</v>
      </c>
    </row>
    <row r="274" spans="1:12" ht="14.25" customHeight="1" x14ac:dyDescent="0.45">
      <c r="A274" t="s">
        <v>529</v>
      </c>
      <c r="B274" s="2" t="s">
        <v>530</v>
      </c>
      <c r="C274" t="s">
        <v>89</v>
      </c>
      <c r="D274" t="s">
        <v>73</v>
      </c>
      <c r="E274" t="s">
        <v>441</v>
      </c>
      <c r="F274" t="s">
        <v>90</v>
      </c>
      <c r="G274">
        <v>2</v>
      </c>
      <c r="H274" s="3">
        <v>2790</v>
      </c>
      <c r="I274" s="3">
        <v>5580</v>
      </c>
      <c r="J274" t="s">
        <v>76</v>
      </c>
      <c r="K274" t="s">
        <v>83</v>
      </c>
      <c r="L274" s="3">
        <f>SUM(SalesData3[Sales Amount (PKR)])</f>
        <v>11946830</v>
      </c>
    </row>
    <row r="275" spans="1:12" ht="14.25" customHeight="1" x14ac:dyDescent="0.45">
      <c r="A275" t="s">
        <v>531</v>
      </c>
      <c r="B275" s="2" t="s">
        <v>261</v>
      </c>
      <c r="C275" t="s">
        <v>89</v>
      </c>
      <c r="D275" t="s">
        <v>73</v>
      </c>
      <c r="E275" t="s">
        <v>441</v>
      </c>
      <c r="F275" t="s">
        <v>75</v>
      </c>
      <c r="G275">
        <v>2</v>
      </c>
      <c r="H275" s="3">
        <v>2790</v>
      </c>
      <c r="I275" s="3">
        <v>5580</v>
      </c>
      <c r="J275" t="s">
        <v>82</v>
      </c>
      <c r="K275" t="s">
        <v>77</v>
      </c>
      <c r="L275" s="3">
        <f>SUM(SalesData3[Sales Amount (PKR)])</f>
        <v>11946830</v>
      </c>
    </row>
    <row r="276" spans="1:12" ht="14.25" customHeight="1" x14ac:dyDescent="0.45">
      <c r="A276" t="s">
        <v>532</v>
      </c>
      <c r="B276" s="2" t="s">
        <v>422</v>
      </c>
      <c r="C276" t="s">
        <v>89</v>
      </c>
      <c r="D276" t="s">
        <v>73</v>
      </c>
      <c r="E276" t="s">
        <v>441</v>
      </c>
      <c r="F276" t="s">
        <v>97</v>
      </c>
      <c r="G276">
        <v>2</v>
      </c>
      <c r="H276" s="3">
        <v>2780</v>
      </c>
      <c r="I276" s="3">
        <v>5560</v>
      </c>
      <c r="J276" t="s">
        <v>76</v>
      </c>
      <c r="K276" t="s">
        <v>83</v>
      </c>
      <c r="L276" s="3">
        <f>SUM(SalesData3[Sales Amount (PKR)])</f>
        <v>11946830</v>
      </c>
    </row>
    <row r="277" spans="1:12" ht="14.25" customHeight="1" x14ac:dyDescent="0.45">
      <c r="A277" t="s">
        <v>533</v>
      </c>
      <c r="B277" s="2" t="s">
        <v>430</v>
      </c>
      <c r="C277" t="s">
        <v>100</v>
      </c>
      <c r="D277" t="s">
        <v>73</v>
      </c>
      <c r="E277" t="s">
        <v>441</v>
      </c>
      <c r="F277" t="s">
        <v>131</v>
      </c>
      <c r="G277">
        <v>2</v>
      </c>
      <c r="H277" s="3">
        <v>2760</v>
      </c>
      <c r="I277" s="3">
        <v>5520</v>
      </c>
      <c r="J277" t="s">
        <v>76</v>
      </c>
      <c r="K277" t="s">
        <v>93</v>
      </c>
      <c r="L277" s="3">
        <f>SUM(SalesData3[Sales Amount (PKR)])</f>
        <v>11946830</v>
      </c>
    </row>
    <row r="278" spans="1:12" ht="14.25" customHeight="1" x14ac:dyDescent="0.45">
      <c r="A278" t="s">
        <v>534</v>
      </c>
      <c r="B278" s="2" t="s">
        <v>354</v>
      </c>
      <c r="C278" t="s">
        <v>100</v>
      </c>
      <c r="D278" t="s">
        <v>73</v>
      </c>
      <c r="E278" t="s">
        <v>441</v>
      </c>
      <c r="F278" t="s">
        <v>86</v>
      </c>
      <c r="G278">
        <v>2</v>
      </c>
      <c r="H278" s="3">
        <v>2740</v>
      </c>
      <c r="I278" s="3">
        <v>5480</v>
      </c>
      <c r="J278" t="s">
        <v>76</v>
      </c>
      <c r="K278" t="s">
        <v>77</v>
      </c>
      <c r="L278" s="3">
        <f>SUM(SalesData3[Sales Amount (PKR)])</f>
        <v>11946830</v>
      </c>
    </row>
    <row r="279" spans="1:12" ht="14.25" customHeight="1" x14ac:dyDescent="0.45">
      <c r="A279" t="s">
        <v>535</v>
      </c>
      <c r="B279" s="2" t="s">
        <v>234</v>
      </c>
      <c r="C279" t="s">
        <v>100</v>
      </c>
      <c r="D279" t="s">
        <v>398</v>
      </c>
      <c r="E279" t="s">
        <v>475</v>
      </c>
      <c r="F279" t="s">
        <v>81</v>
      </c>
      <c r="G279">
        <v>3</v>
      </c>
      <c r="H279" s="3">
        <v>1820</v>
      </c>
      <c r="I279" s="3">
        <v>5460</v>
      </c>
      <c r="J279" t="s">
        <v>76</v>
      </c>
      <c r="K279" t="s">
        <v>77</v>
      </c>
      <c r="L279" s="3">
        <f>SUM(SalesData3[Sales Amount (PKR)])</f>
        <v>11946830</v>
      </c>
    </row>
    <row r="280" spans="1:12" ht="14.25" customHeight="1" x14ac:dyDescent="0.45">
      <c r="A280" t="s">
        <v>536</v>
      </c>
      <c r="B280" s="2" t="s">
        <v>537</v>
      </c>
      <c r="C280" t="s">
        <v>89</v>
      </c>
      <c r="D280" t="s">
        <v>73</v>
      </c>
      <c r="E280" t="s">
        <v>441</v>
      </c>
      <c r="F280" t="s">
        <v>117</v>
      </c>
      <c r="G280">
        <v>2</v>
      </c>
      <c r="H280" s="3">
        <v>2720</v>
      </c>
      <c r="I280" s="3">
        <v>5440</v>
      </c>
      <c r="J280" t="s">
        <v>82</v>
      </c>
      <c r="K280" t="s">
        <v>83</v>
      </c>
      <c r="L280" s="3">
        <f>SUM(SalesData3[Sales Amount (PKR)])</f>
        <v>11946830</v>
      </c>
    </row>
    <row r="281" spans="1:12" ht="14.25" customHeight="1" x14ac:dyDescent="0.45">
      <c r="A281" t="s">
        <v>538</v>
      </c>
      <c r="B281" s="2" t="s">
        <v>234</v>
      </c>
      <c r="C281" t="s">
        <v>72</v>
      </c>
      <c r="D281" t="s">
        <v>398</v>
      </c>
      <c r="E281" t="s">
        <v>464</v>
      </c>
      <c r="F281" t="s">
        <v>140</v>
      </c>
      <c r="G281">
        <v>2</v>
      </c>
      <c r="H281" s="3">
        <v>2700</v>
      </c>
      <c r="I281" s="3">
        <v>5400</v>
      </c>
      <c r="J281" t="s">
        <v>76</v>
      </c>
      <c r="K281" t="s">
        <v>77</v>
      </c>
      <c r="L281" s="3">
        <f>SUM(SalesData3[Sales Amount (PKR)])</f>
        <v>11946830</v>
      </c>
    </row>
    <row r="282" spans="1:12" ht="14.25" customHeight="1" x14ac:dyDescent="0.45">
      <c r="A282" t="s">
        <v>539</v>
      </c>
      <c r="B282" s="2" t="s">
        <v>540</v>
      </c>
      <c r="C282" t="s">
        <v>72</v>
      </c>
      <c r="D282" t="s">
        <v>398</v>
      </c>
      <c r="E282" t="s">
        <v>464</v>
      </c>
      <c r="F282" t="s">
        <v>81</v>
      </c>
      <c r="G282">
        <v>2</v>
      </c>
      <c r="H282" s="3">
        <v>2690</v>
      </c>
      <c r="I282" s="3">
        <v>5380</v>
      </c>
      <c r="J282" t="s">
        <v>76</v>
      </c>
      <c r="K282" t="s">
        <v>83</v>
      </c>
      <c r="L282" s="3">
        <f>SUM(SalesData3[Sales Amount (PKR)])</f>
        <v>11946830</v>
      </c>
    </row>
    <row r="283" spans="1:12" ht="14.25" customHeight="1" x14ac:dyDescent="0.45">
      <c r="A283" t="s">
        <v>541</v>
      </c>
      <c r="B283" s="2" t="s">
        <v>142</v>
      </c>
      <c r="C283" t="s">
        <v>96</v>
      </c>
      <c r="D283" t="s">
        <v>398</v>
      </c>
      <c r="E283" t="s">
        <v>475</v>
      </c>
      <c r="F283" t="s">
        <v>117</v>
      </c>
      <c r="G283">
        <v>3</v>
      </c>
      <c r="H283" s="3">
        <v>1750</v>
      </c>
      <c r="I283" s="3">
        <v>5250</v>
      </c>
      <c r="J283" t="s">
        <v>82</v>
      </c>
      <c r="K283" t="s">
        <v>93</v>
      </c>
      <c r="L283" s="3">
        <f>SUM(SalesData3[Sales Amount (PKR)])</f>
        <v>11946830</v>
      </c>
    </row>
    <row r="284" spans="1:12" ht="14.25" customHeight="1" x14ac:dyDescent="0.45">
      <c r="A284" t="s">
        <v>542</v>
      </c>
      <c r="B284" s="2" t="s">
        <v>158</v>
      </c>
      <c r="C284" t="s">
        <v>96</v>
      </c>
      <c r="D284" t="s">
        <v>398</v>
      </c>
      <c r="E284" t="s">
        <v>464</v>
      </c>
      <c r="F284" t="s">
        <v>97</v>
      </c>
      <c r="G284">
        <v>2</v>
      </c>
      <c r="H284" s="3">
        <v>2610</v>
      </c>
      <c r="I284" s="3">
        <v>5220</v>
      </c>
      <c r="J284" t="s">
        <v>76</v>
      </c>
      <c r="K284" t="s">
        <v>77</v>
      </c>
      <c r="L284" s="3">
        <f>SUM(SalesData3[Sales Amount (PKR)])</f>
        <v>11946830</v>
      </c>
    </row>
    <row r="285" spans="1:12" ht="14.25" customHeight="1" x14ac:dyDescent="0.45">
      <c r="A285" t="s">
        <v>543</v>
      </c>
      <c r="B285" s="2" t="s">
        <v>544</v>
      </c>
      <c r="C285" t="s">
        <v>89</v>
      </c>
      <c r="D285" t="s">
        <v>398</v>
      </c>
      <c r="E285" t="s">
        <v>464</v>
      </c>
      <c r="F285" t="s">
        <v>97</v>
      </c>
      <c r="G285">
        <v>2</v>
      </c>
      <c r="H285" s="3">
        <v>2560</v>
      </c>
      <c r="I285" s="3">
        <v>5120</v>
      </c>
      <c r="J285" t="s">
        <v>76</v>
      </c>
      <c r="K285" t="s">
        <v>93</v>
      </c>
      <c r="L285" s="3">
        <f>SUM(SalesData3[Sales Amount (PKR)])</f>
        <v>11946830</v>
      </c>
    </row>
    <row r="286" spans="1:12" ht="14.25" customHeight="1" x14ac:dyDescent="0.45">
      <c r="A286" t="s">
        <v>545</v>
      </c>
      <c r="B286" s="2" t="s">
        <v>404</v>
      </c>
      <c r="C286" t="s">
        <v>89</v>
      </c>
      <c r="D286" t="s">
        <v>398</v>
      </c>
      <c r="E286" t="s">
        <v>464</v>
      </c>
      <c r="F286" t="s">
        <v>117</v>
      </c>
      <c r="G286">
        <v>2</v>
      </c>
      <c r="H286" s="3">
        <v>2530</v>
      </c>
      <c r="I286" s="3">
        <v>5060</v>
      </c>
      <c r="J286" t="s">
        <v>76</v>
      </c>
      <c r="K286" t="s">
        <v>93</v>
      </c>
      <c r="L286" s="3">
        <f>SUM(SalesData3[Sales Amount (PKR)])</f>
        <v>11946830</v>
      </c>
    </row>
    <row r="287" spans="1:12" ht="14.25" customHeight="1" x14ac:dyDescent="0.45">
      <c r="A287" t="s">
        <v>546</v>
      </c>
      <c r="B287" s="2" t="s">
        <v>513</v>
      </c>
      <c r="C287" t="s">
        <v>100</v>
      </c>
      <c r="D287" t="s">
        <v>398</v>
      </c>
      <c r="E287" t="s">
        <v>464</v>
      </c>
      <c r="F287" t="s">
        <v>123</v>
      </c>
      <c r="G287">
        <v>2</v>
      </c>
      <c r="H287" s="3">
        <v>2530</v>
      </c>
      <c r="I287" s="3">
        <v>5060</v>
      </c>
      <c r="J287" t="s">
        <v>82</v>
      </c>
      <c r="K287" t="s">
        <v>77</v>
      </c>
      <c r="L287" s="3">
        <f>SUM(SalesData3[Sales Amount (PKR)])</f>
        <v>11946830</v>
      </c>
    </row>
    <row r="288" spans="1:12" ht="14.25" customHeight="1" x14ac:dyDescent="0.45">
      <c r="A288" t="s">
        <v>547</v>
      </c>
      <c r="B288" s="2" t="s">
        <v>249</v>
      </c>
      <c r="C288" t="s">
        <v>96</v>
      </c>
      <c r="D288" t="s">
        <v>398</v>
      </c>
      <c r="E288" t="s">
        <v>464</v>
      </c>
      <c r="F288" t="s">
        <v>123</v>
      </c>
      <c r="G288">
        <v>2</v>
      </c>
      <c r="H288" s="3">
        <v>2520</v>
      </c>
      <c r="I288" s="3">
        <v>5040</v>
      </c>
      <c r="J288" t="s">
        <v>76</v>
      </c>
      <c r="K288" t="s">
        <v>83</v>
      </c>
      <c r="L288" s="3">
        <f>SUM(SalesData3[Sales Amount (PKR)])</f>
        <v>11946830</v>
      </c>
    </row>
    <row r="289" spans="1:12" ht="14.25" customHeight="1" x14ac:dyDescent="0.45">
      <c r="A289" t="s">
        <v>548</v>
      </c>
      <c r="B289" s="2" t="s">
        <v>467</v>
      </c>
      <c r="C289" t="s">
        <v>100</v>
      </c>
      <c r="D289" t="s">
        <v>398</v>
      </c>
      <c r="E289" t="s">
        <v>464</v>
      </c>
      <c r="F289" t="s">
        <v>90</v>
      </c>
      <c r="G289">
        <v>2</v>
      </c>
      <c r="H289" s="3">
        <v>2520</v>
      </c>
      <c r="I289" s="3">
        <v>5040</v>
      </c>
      <c r="J289" t="s">
        <v>82</v>
      </c>
      <c r="K289" t="s">
        <v>83</v>
      </c>
      <c r="L289" s="3">
        <f>SUM(SalesData3[Sales Amount (PKR)])</f>
        <v>11946830</v>
      </c>
    </row>
    <row r="290" spans="1:12" ht="14.25" customHeight="1" x14ac:dyDescent="0.45">
      <c r="A290" t="s">
        <v>549</v>
      </c>
      <c r="B290" s="2" t="s">
        <v>550</v>
      </c>
      <c r="C290" t="s">
        <v>89</v>
      </c>
      <c r="D290" t="s">
        <v>398</v>
      </c>
      <c r="E290" t="s">
        <v>464</v>
      </c>
      <c r="F290" t="s">
        <v>81</v>
      </c>
      <c r="G290">
        <v>2</v>
      </c>
      <c r="H290" s="3">
        <v>2510</v>
      </c>
      <c r="I290" s="3">
        <v>5020</v>
      </c>
      <c r="J290" t="s">
        <v>82</v>
      </c>
      <c r="K290" t="s">
        <v>83</v>
      </c>
      <c r="L290" s="3">
        <f>SUM(SalesData3[Sales Amount (PKR)])</f>
        <v>11946830</v>
      </c>
    </row>
    <row r="291" spans="1:12" ht="14.25" customHeight="1" x14ac:dyDescent="0.45">
      <c r="A291" t="s">
        <v>551</v>
      </c>
      <c r="B291" s="2" t="s">
        <v>552</v>
      </c>
      <c r="C291" t="s">
        <v>96</v>
      </c>
      <c r="D291" t="s">
        <v>398</v>
      </c>
      <c r="E291" t="s">
        <v>464</v>
      </c>
      <c r="F291" t="s">
        <v>107</v>
      </c>
      <c r="G291">
        <v>2</v>
      </c>
      <c r="H291" s="3">
        <v>2500</v>
      </c>
      <c r="I291" s="3">
        <v>5000</v>
      </c>
      <c r="J291" t="s">
        <v>76</v>
      </c>
      <c r="K291" t="s">
        <v>83</v>
      </c>
      <c r="L291" s="3">
        <f>SUM(SalesData3[Sales Amount (PKR)])</f>
        <v>11946830</v>
      </c>
    </row>
    <row r="292" spans="1:12" ht="14.25" customHeight="1" x14ac:dyDescent="0.45">
      <c r="A292" t="s">
        <v>553</v>
      </c>
      <c r="B292" s="2" t="s">
        <v>554</v>
      </c>
      <c r="C292" t="s">
        <v>96</v>
      </c>
      <c r="D292" t="s">
        <v>472</v>
      </c>
      <c r="E292" t="s">
        <v>473</v>
      </c>
      <c r="F292" t="s">
        <v>140</v>
      </c>
      <c r="G292">
        <v>2</v>
      </c>
      <c r="H292" s="3">
        <v>2490</v>
      </c>
      <c r="I292" s="3">
        <v>4980</v>
      </c>
      <c r="J292" t="s">
        <v>76</v>
      </c>
      <c r="K292" t="s">
        <v>83</v>
      </c>
      <c r="L292" s="3">
        <f>SUM(SalesData3[Sales Amount (PKR)])</f>
        <v>11946830</v>
      </c>
    </row>
    <row r="293" spans="1:12" ht="14.25" customHeight="1" x14ac:dyDescent="0.45">
      <c r="A293" t="s">
        <v>555</v>
      </c>
      <c r="B293" s="2" t="s">
        <v>556</v>
      </c>
      <c r="C293" t="s">
        <v>100</v>
      </c>
      <c r="D293" t="s">
        <v>472</v>
      </c>
      <c r="E293" t="s">
        <v>557</v>
      </c>
      <c r="F293" t="s">
        <v>75</v>
      </c>
      <c r="G293">
        <v>4</v>
      </c>
      <c r="H293" s="3">
        <v>1240</v>
      </c>
      <c r="I293" s="3">
        <v>4960</v>
      </c>
      <c r="J293" t="s">
        <v>76</v>
      </c>
      <c r="K293" t="s">
        <v>83</v>
      </c>
      <c r="L293" s="3">
        <f>SUM(SalesData3[Sales Amount (PKR)])</f>
        <v>11946830</v>
      </c>
    </row>
    <row r="294" spans="1:12" ht="14.25" customHeight="1" x14ac:dyDescent="0.45">
      <c r="A294" t="s">
        <v>558</v>
      </c>
      <c r="B294" s="2" t="s">
        <v>146</v>
      </c>
      <c r="C294" t="s">
        <v>100</v>
      </c>
      <c r="D294" t="s">
        <v>472</v>
      </c>
      <c r="E294" t="s">
        <v>473</v>
      </c>
      <c r="F294" t="s">
        <v>86</v>
      </c>
      <c r="G294">
        <v>2</v>
      </c>
      <c r="H294" s="3">
        <v>2430</v>
      </c>
      <c r="I294" s="3">
        <v>4860</v>
      </c>
      <c r="J294" t="s">
        <v>76</v>
      </c>
      <c r="K294" t="s">
        <v>83</v>
      </c>
      <c r="L294" s="3">
        <f>SUM(SalesData3[Sales Amount (PKR)])</f>
        <v>11946830</v>
      </c>
    </row>
    <row r="295" spans="1:12" ht="14.25" customHeight="1" x14ac:dyDescent="0.45">
      <c r="A295" t="s">
        <v>559</v>
      </c>
      <c r="B295" s="2" t="s">
        <v>137</v>
      </c>
      <c r="C295" t="s">
        <v>89</v>
      </c>
      <c r="D295" t="s">
        <v>472</v>
      </c>
      <c r="E295" t="s">
        <v>473</v>
      </c>
      <c r="F295" t="s">
        <v>75</v>
      </c>
      <c r="G295">
        <v>2</v>
      </c>
      <c r="H295" s="3">
        <v>2370</v>
      </c>
      <c r="I295" s="3">
        <v>4740</v>
      </c>
      <c r="J295" t="s">
        <v>76</v>
      </c>
      <c r="K295" t="s">
        <v>93</v>
      </c>
      <c r="L295" s="3">
        <f>SUM(SalesData3[Sales Amount (PKR)])</f>
        <v>11946830</v>
      </c>
    </row>
    <row r="296" spans="1:12" ht="14.25" customHeight="1" x14ac:dyDescent="0.45">
      <c r="A296" t="s">
        <v>560</v>
      </c>
      <c r="B296" s="2" t="s">
        <v>115</v>
      </c>
      <c r="C296" t="s">
        <v>96</v>
      </c>
      <c r="D296" t="s">
        <v>472</v>
      </c>
      <c r="E296" t="s">
        <v>473</v>
      </c>
      <c r="F296" t="s">
        <v>86</v>
      </c>
      <c r="G296">
        <v>2</v>
      </c>
      <c r="H296" s="3">
        <v>2360</v>
      </c>
      <c r="I296" s="3">
        <v>4720</v>
      </c>
      <c r="J296" t="s">
        <v>82</v>
      </c>
      <c r="K296" t="s">
        <v>83</v>
      </c>
      <c r="L296" s="3">
        <f>SUM(SalesData3[Sales Amount (PKR)])</f>
        <v>11946830</v>
      </c>
    </row>
    <row r="297" spans="1:12" ht="14.25" customHeight="1" x14ac:dyDescent="0.45">
      <c r="A297" t="s">
        <v>561</v>
      </c>
      <c r="B297" s="2" t="s">
        <v>562</v>
      </c>
      <c r="C297" t="s">
        <v>100</v>
      </c>
      <c r="D297" t="s">
        <v>472</v>
      </c>
      <c r="E297" t="s">
        <v>500</v>
      </c>
      <c r="F297" t="s">
        <v>81</v>
      </c>
      <c r="G297">
        <v>3</v>
      </c>
      <c r="H297" s="3">
        <v>1560</v>
      </c>
      <c r="I297" s="3">
        <v>4680</v>
      </c>
      <c r="J297" t="s">
        <v>76</v>
      </c>
      <c r="K297" t="s">
        <v>93</v>
      </c>
      <c r="L297" s="3">
        <f>SUM(SalesData3[Sales Amount (PKR)])</f>
        <v>11946830</v>
      </c>
    </row>
    <row r="298" spans="1:12" ht="14.25" customHeight="1" x14ac:dyDescent="0.45">
      <c r="A298" t="s">
        <v>563</v>
      </c>
      <c r="B298" s="2" t="s">
        <v>430</v>
      </c>
      <c r="C298" t="s">
        <v>89</v>
      </c>
      <c r="D298" t="s">
        <v>196</v>
      </c>
      <c r="E298" t="s">
        <v>300</v>
      </c>
      <c r="F298" t="s">
        <v>140</v>
      </c>
      <c r="G298">
        <v>1</v>
      </c>
      <c r="H298" s="3">
        <v>4680</v>
      </c>
      <c r="I298" s="3">
        <v>4680</v>
      </c>
      <c r="J298" t="s">
        <v>76</v>
      </c>
      <c r="K298" t="s">
        <v>83</v>
      </c>
      <c r="L298" s="3">
        <f>SUM(SalesData3[Sales Amount (PKR)])</f>
        <v>11946830</v>
      </c>
    </row>
    <row r="299" spans="1:12" ht="14.25" customHeight="1" x14ac:dyDescent="0.45">
      <c r="A299" t="s">
        <v>564</v>
      </c>
      <c r="B299" s="2" t="s">
        <v>258</v>
      </c>
      <c r="C299" t="s">
        <v>96</v>
      </c>
      <c r="D299" t="s">
        <v>196</v>
      </c>
      <c r="E299" t="s">
        <v>300</v>
      </c>
      <c r="F299" t="s">
        <v>131</v>
      </c>
      <c r="G299">
        <v>1</v>
      </c>
      <c r="H299" s="3">
        <v>4640</v>
      </c>
      <c r="I299" s="3">
        <v>4640</v>
      </c>
      <c r="J299" t="s">
        <v>76</v>
      </c>
      <c r="K299" t="s">
        <v>83</v>
      </c>
      <c r="L299" s="3">
        <f>SUM(SalesData3[Sales Amount (PKR)])</f>
        <v>11946830</v>
      </c>
    </row>
    <row r="300" spans="1:12" ht="14.25" customHeight="1" x14ac:dyDescent="0.45">
      <c r="A300" t="s">
        <v>565</v>
      </c>
      <c r="B300" s="2" t="s">
        <v>345</v>
      </c>
      <c r="C300" t="s">
        <v>89</v>
      </c>
      <c r="D300" t="s">
        <v>196</v>
      </c>
      <c r="E300" t="s">
        <v>300</v>
      </c>
      <c r="F300" t="s">
        <v>75</v>
      </c>
      <c r="G300">
        <v>1</v>
      </c>
      <c r="H300" s="3">
        <v>4640</v>
      </c>
      <c r="I300" s="3">
        <v>4640</v>
      </c>
      <c r="J300" t="s">
        <v>76</v>
      </c>
      <c r="K300" t="s">
        <v>77</v>
      </c>
      <c r="L300" s="3">
        <f>SUM(SalesData3[Sales Amount (PKR)])</f>
        <v>11946830</v>
      </c>
    </row>
    <row r="301" spans="1:12" ht="14.25" customHeight="1" x14ac:dyDescent="0.45">
      <c r="A301" t="s">
        <v>566</v>
      </c>
      <c r="B301" s="2" t="s">
        <v>428</v>
      </c>
      <c r="C301" t="s">
        <v>96</v>
      </c>
      <c r="D301" t="s">
        <v>196</v>
      </c>
      <c r="E301" t="s">
        <v>300</v>
      </c>
      <c r="F301" t="s">
        <v>81</v>
      </c>
      <c r="G301">
        <v>1</v>
      </c>
      <c r="H301" s="3">
        <v>4620</v>
      </c>
      <c r="I301" s="3">
        <v>4620</v>
      </c>
      <c r="J301" t="s">
        <v>82</v>
      </c>
      <c r="K301" t="s">
        <v>77</v>
      </c>
      <c r="L301" s="3">
        <f>SUM(SalesData3[Sales Amount (PKR)])</f>
        <v>11946830</v>
      </c>
    </row>
    <row r="302" spans="1:12" ht="14.25" customHeight="1" x14ac:dyDescent="0.45">
      <c r="A302" t="s">
        <v>567</v>
      </c>
      <c r="B302" s="2" t="s">
        <v>213</v>
      </c>
      <c r="C302" t="s">
        <v>96</v>
      </c>
      <c r="D302" t="s">
        <v>472</v>
      </c>
      <c r="E302" t="s">
        <v>500</v>
      </c>
      <c r="F302" t="s">
        <v>97</v>
      </c>
      <c r="G302">
        <v>3</v>
      </c>
      <c r="H302" s="3">
        <v>1540</v>
      </c>
      <c r="I302" s="3">
        <v>4620</v>
      </c>
      <c r="J302" t="s">
        <v>82</v>
      </c>
      <c r="K302" t="s">
        <v>83</v>
      </c>
      <c r="L302" s="3">
        <f>SUM(SalesData3[Sales Amount (PKR)])</f>
        <v>11946830</v>
      </c>
    </row>
    <row r="303" spans="1:12" ht="14.25" customHeight="1" x14ac:dyDescent="0.45">
      <c r="A303" t="s">
        <v>568</v>
      </c>
      <c r="B303" s="2" t="s">
        <v>569</v>
      </c>
      <c r="C303" t="s">
        <v>100</v>
      </c>
      <c r="D303" t="s">
        <v>196</v>
      </c>
      <c r="E303" t="s">
        <v>300</v>
      </c>
      <c r="F303" t="s">
        <v>140</v>
      </c>
      <c r="G303">
        <v>1</v>
      </c>
      <c r="H303" s="3">
        <v>4620</v>
      </c>
      <c r="I303" s="3">
        <v>4620</v>
      </c>
      <c r="J303" t="s">
        <v>76</v>
      </c>
      <c r="K303" t="s">
        <v>83</v>
      </c>
      <c r="L303" s="3">
        <f>SUM(SalesData3[Sales Amount (PKR)])</f>
        <v>11946830</v>
      </c>
    </row>
    <row r="304" spans="1:12" ht="14.25" customHeight="1" x14ac:dyDescent="0.45">
      <c r="A304" t="s">
        <v>570</v>
      </c>
      <c r="B304" s="2" t="s">
        <v>571</v>
      </c>
      <c r="C304" t="s">
        <v>100</v>
      </c>
      <c r="D304" t="s">
        <v>196</v>
      </c>
      <c r="E304" t="s">
        <v>300</v>
      </c>
      <c r="F304" t="s">
        <v>131</v>
      </c>
      <c r="G304">
        <v>1</v>
      </c>
      <c r="H304" s="3">
        <v>4610</v>
      </c>
      <c r="I304" s="3">
        <v>4610</v>
      </c>
      <c r="J304" t="s">
        <v>82</v>
      </c>
      <c r="K304" t="s">
        <v>93</v>
      </c>
      <c r="L304" s="3">
        <f>SUM(SalesData3[Sales Amount (PKR)])</f>
        <v>11946830</v>
      </c>
    </row>
    <row r="305" spans="1:12" ht="14.25" customHeight="1" x14ac:dyDescent="0.45">
      <c r="A305" t="s">
        <v>572</v>
      </c>
      <c r="B305" s="2" t="s">
        <v>544</v>
      </c>
      <c r="C305" t="s">
        <v>96</v>
      </c>
      <c r="D305" t="s">
        <v>196</v>
      </c>
      <c r="E305" t="s">
        <v>300</v>
      </c>
      <c r="F305" t="s">
        <v>81</v>
      </c>
      <c r="G305">
        <v>1</v>
      </c>
      <c r="H305" s="3">
        <v>4610</v>
      </c>
      <c r="I305" s="3">
        <v>4610</v>
      </c>
      <c r="J305" t="s">
        <v>82</v>
      </c>
      <c r="K305" t="s">
        <v>83</v>
      </c>
      <c r="L305" s="3">
        <f>SUM(SalesData3[Sales Amount (PKR)])</f>
        <v>11946830</v>
      </c>
    </row>
    <row r="306" spans="1:12" ht="14.25" customHeight="1" x14ac:dyDescent="0.45">
      <c r="A306" t="s">
        <v>573</v>
      </c>
      <c r="B306" s="2" t="s">
        <v>404</v>
      </c>
      <c r="C306" t="s">
        <v>80</v>
      </c>
      <c r="D306" t="s">
        <v>196</v>
      </c>
      <c r="E306" t="s">
        <v>300</v>
      </c>
      <c r="F306" t="s">
        <v>117</v>
      </c>
      <c r="G306">
        <v>1</v>
      </c>
      <c r="H306" s="3">
        <v>4600</v>
      </c>
      <c r="I306" s="3">
        <v>4600</v>
      </c>
      <c r="J306" t="s">
        <v>82</v>
      </c>
      <c r="K306" t="s">
        <v>93</v>
      </c>
      <c r="L306" s="3">
        <f>SUM(SalesData3[Sales Amount (PKR)])</f>
        <v>11946830</v>
      </c>
    </row>
    <row r="307" spans="1:12" ht="14.25" customHeight="1" x14ac:dyDescent="0.45">
      <c r="A307" t="s">
        <v>574</v>
      </c>
      <c r="B307" s="2" t="s">
        <v>166</v>
      </c>
      <c r="C307" t="s">
        <v>72</v>
      </c>
      <c r="D307" t="s">
        <v>472</v>
      </c>
      <c r="E307" t="s">
        <v>557</v>
      </c>
      <c r="F307" t="s">
        <v>140</v>
      </c>
      <c r="G307">
        <v>4</v>
      </c>
      <c r="H307" s="3">
        <v>1150</v>
      </c>
      <c r="I307" s="3">
        <v>4600</v>
      </c>
      <c r="J307" t="s">
        <v>82</v>
      </c>
      <c r="K307" t="s">
        <v>93</v>
      </c>
      <c r="L307" s="3">
        <f>SUM(SalesData3[Sales Amount (PKR)])</f>
        <v>11946830</v>
      </c>
    </row>
    <row r="308" spans="1:12" ht="14.25" customHeight="1" x14ac:dyDescent="0.45">
      <c r="A308" t="s">
        <v>575</v>
      </c>
      <c r="B308" s="2" t="s">
        <v>135</v>
      </c>
      <c r="C308" t="s">
        <v>96</v>
      </c>
      <c r="D308" t="s">
        <v>196</v>
      </c>
      <c r="E308" t="s">
        <v>300</v>
      </c>
      <c r="F308" t="s">
        <v>75</v>
      </c>
      <c r="G308">
        <v>1</v>
      </c>
      <c r="H308" s="3">
        <v>4580</v>
      </c>
      <c r="I308" s="3">
        <v>4580</v>
      </c>
      <c r="J308" t="s">
        <v>82</v>
      </c>
      <c r="K308" t="s">
        <v>83</v>
      </c>
      <c r="L308" s="3">
        <f>SUM(SalesData3[Sales Amount (PKR)])</f>
        <v>11946830</v>
      </c>
    </row>
    <row r="309" spans="1:12" ht="14.25" customHeight="1" x14ac:dyDescent="0.45">
      <c r="A309" t="s">
        <v>576</v>
      </c>
      <c r="B309" s="2" t="s">
        <v>283</v>
      </c>
      <c r="C309" t="s">
        <v>100</v>
      </c>
      <c r="D309" t="s">
        <v>398</v>
      </c>
      <c r="E309" t="s">
        <v>448</v>
      </c>
      <c r="F309" t="s">
        <v>81</v>
      </c>
      <c r="G309">
        <v>2</v>
      </c>
      <c r="H309" s="3">
        <v>2290</v>
      </c>
      <c r="I309" s="3">
        <v>4580</v>
      </c>
      <c r="J309" t="s">
        <v>82</v>
      </c>
      <c r="K309" t="s">
        <v>93</v>
      </c>
      <c r="L309" s="3">
        <f>SUM(SalesData3[Sales Amount (PKR)])</f>
        <v>11946830</v>
      </c>
    </row>
    <row r="310" spans="1:12" ht="14.25" customHeight="1" x14ac:dyDescent="0.45">
      <c r="A310" t="s">
        <v>577</v>
      </c>
      <c r="B310" s="2" t="s">
        <v>578</v>
      </c>
      <c r="C310" t="s">
        <v>89</v>
      </c>
      <c r="D310" t="s">
        <v>196</v>
      </c>
      <c r="E310" t="s">
        <v>300</v>
      </c>
      <c r="F310" t="s">
        <v>86</v>
      </c>
      <c r="G310">
        <v>1</v>
      </c>
      <c r="H310" s="3">
        <v>4560</v>
      </c>
      <c r="I310" s="3">
        <v>4560</v>
      </c>
      <c r="J310" t="s">
        <v>76</v>
      </c>
      <c r="K310" t="s">
        <v>83</v>
      </c>
      <c r="L310" s="3">
        <f>SUM(SalesData3[Sales Amount (PKR)])</f>
        <v>11946830</v>
      </c>
    </row>
    <row r="311" spans="1:12" ht="14.25" customHeight="1" x14ac:dyDescent="0.45">
      <c r="A311" t="s">
        <v>579</v>
      </c>
      <c r="B311" s="2" t="s">
        <v>95</v>
      </c>
      <c r="C311" t="s">
        <v>100</v>
      </c>
      <c r="D311" t="s">
        <v>398</v>
      </c>
      <c r="E311" t="s">
        <v>448</v>
      </c>
      <c r="F311" t="s">
        <v>131</v>
      </c>
      <c r="G311">
        <v>2</v>
      </c>
      <c r="H311" s="3">
        <v>2280</v>
      </c>
      <c r="I311" s="3">
        <v>4560</v>
      </c>
      <c r="J311" t="s">
        <v>82</v>
      </c>
      <c r="K311" t="s">
        <v>83</v>
      </c>
      <c r="L311" s="3">
        <f>SUM(SalesData3[Sales Amount (PKR)])</f>
        <v>11946830</v>
      </c>
    </row>
    <row r="312" spans="1:12" ht="14.25" customHeight="1" x14ac:dyDescent="0.45">
      <c r="A312" t="s">
        <v>580</v>
      </c>
      <c r="B312" s="2" t="s">
        <v>194</v>
      </c>
      <c r="C312" t="s">
        <v>89</v>
      </c>
      <c r="D312" t="s">
        <v>196</v>
      </c>
      <c r="E312" t="s">
        <v>300</v>
      </c>
      <c r="F312" t="s">
        <v>97</v>
      </c>
      <c r="G312">
        <v>1</v>
      </c>
      <c r="H312" s="3">
        <v>4560</v>
      </c>
      <c r="I312" s="3">
        <v>4560</v>
      </c>
      <c r="J312" t="s">
        <v>76</v>
      </c>
      <c r="K312" t="s">
        <v>77</v>
      </c>
      <c r="L312" s="3">
        <f>SUM(SalesData3[Sales Amount (PKR)])</f>
        <v>11946830</v>
      </c>
    </row>
    <row r="313" spans="1:12" ht="14.25" customHeight="1" x14ac:dyDescent="0.45">
      <c r="A313" t="s">
        <v>581</v>
      </c>
      <c r="B313" s="2" t="s">
        <v>253</v>
      </c>
      <c r="C313" t="s">
        <v>89</v>
      </c>
      <c r="D313" t="s">
        <v>398</v>
      </c>
      <c r="E313" t="s">
        <v>448</v>
      </c>
      <c r="F313" t="s">
        <v>97</v>
      </c>
      <c r="G313">
        <v>2</v>
      </c>
      <c r="H313" s="3">
        <v>2280</v>
      </c>
      <c r="I313" s="3">
        <v>4560</v>
      </c>
      <c r="J313" t="s">
        <v>82</v>
      </c>
      <c r="K313" t="s">
        <v>77</v>
      </c>
      <c r="L313" s="3">
        <f>SUM(SalesData3[Sales Amount (PKR)])</f>
        <v>11946830</v>
      </c>
    </row>
    <row r="314" spans="1:12" ht="14.25" customHeight="1" x14ac:dyDescent="0.45">
      <c r="A314" t="s">
        <v>582</v>
      </c>
      <c r="B314" s="2" t="s">
        <v>583</v>
      </c>
      <c r="C314" t="s">
        <v>72</v>
      </c>
      <c r="D314" t="s">
        <v>398</v>
      </c>
      <c r="E314" t="s">
        <v>448</v>
      </c>
      <c r="F314" t="s">
        <v>123</v>
      </c>
      <c r="G314">
        <v>2</v>
      </c>
      <c r="H314" s="3">
        <v>2280</v>
      </c>
      <c r="I314" s="3">
        <v>4560</v>
      </c>
      <c r="J314" t="s">
        <v>82</v>
      </c>
      <c r="K314" t="s">
        <v>83</v>
      </c>
      <c r="L314" s="3">
        <f>SUM(SalesData3[Sales Amount (PKR)])</f>
        <v>11946830</v>
      </c>
    </row>
    <row r="315" spans="1:12" ht="14.25" customHeight="1" x14ac:dyDescent="0.45">
      <c r="A315" t="s">
        <v>584</v>
      </c>
      <c r="B315" s="2" t="s">
        <v>585</v>
      </c>
      <c r="C315" t="s">
        <v>72</v>
      </c>
      <c r="D315" t="s">
        <v>196</v>
      </c>
      <c r="E315" t="s">
        <v>300</v>
      </c>
      <c r="F315" t="s">
        <v>107</v>
      </c>
      <c r="G315">
        <v>1</v>
      </c>
      <c r="H315" s="3">
        <v>4560</v>
      </c>
      <c r="I315" s="3">
        <v>4560</v>
      </c>
      <c r="J315" t="s">
        <v>76</v>
      </c>
      <c r="K315" t="s">
        <v>77</v>
      </c>
      <c r="L315" s="3">
        <f>SUM(SalesData3[Sales Amount (PKR)])</f>
        <v>11946830</v>
      </c>
    </row>
    <row r="316" spans="1:12" ht="14.25" customHeight="1" x14ac:dyDescent="0.45">
      <c r="A316" t="s">
        <v>586</v>
      </c>
      <c r="B316" s="2" t="s">
        <v>307</v>
      </c>
      <c r="C316" t="s">
        <v>96</v>
      </c>
      <c r="D316" t="s">
        <v>196</v>
      </c>
      <c r="E316" t="s">
        <v>300</v>
      </c>
      <c r="F316" t="s">
        <v>86</v>
      </c>
      <c r="G316">
        <v>1</v>
      </c>
      <c r="H316" s="3">
        <v>4560</v>
      </c>
      <c r="I316" s="3">
        <v>4560</v>
      </c>
      <c r="J316" t="s">
        <v>82</v>
      </c>
      <c r="K316" t="s">
        <v>83</v>
      </c>
      <c r="L316" s="3">
        <f>SUM(SalesData3[Sales Amount (PKR)])</f>
        <v>11946830</v>
      </c>
    </row>
    <row r="317" spans="1:12" ht="14.25" customHeight="1" x14ac:dyDescent="0.45">
      <c r="A317" t="s">
        <v>587</v>
      </c>
      <c r="B317" s="2" t="s">
        <v>588</v>
      </c>
      <c r="C317" t="s">
        <v>100</v>
      </c>
      <c r="D317" t="s">
        <v>196</v>
      </c>
      <c r="E317" t="s">
        <v>300</v>
      </c>
      <c r="F317" t="s">
        <v>140</v>
      </c>
      <c r="G317">
        <v>1</v>
      </c>
      <c r="H317" s="3">
        <v>4540</v>
      </c>
      <c r="I317" s="3">
        <v>4540</v>
      </c>
      <c r="J317" t="s">
        <v>76</v>
      </c>
      <c r="K317" t="s">
        <v>93</v>
      </c>
      <c r="L317" s="3">
        <f>SUM(SalesData3[Sales Amount (PKR)])</f>
        <v>11946830</v>
      </c>
    </row>
    <row r="318" spans="1:12" ht="14.25" customHeight="1" x14ac:dyDescent="0.45">
      <c r="A318" t="s">
        <v>589</v>
      </c>
      <c r="B318" s="2" t="s">
        <v>249</v>
      </c>
      <c r="C318" t="s">
        <v>96</v>
      </c>
      <c r="D318" t="s">
        <v>398</v>
      </c>
      <c r="E318" t="s">
        <v>448</v>
      </c>
      <c r="F318" t="s">
        <v>117</v>
      </c>
      <c r="G318">
        <v>2</v>
      </c>
      <c r="H318" s="3">
        <v>2260</v>
      </c>
      <c r="I318" s="3">
        <v>4520</v>
      </c>
      <c r="J318" t="s">
        <v>76</v>
      </c>
      <c r="K318" t="s">
        <v>77</v>
      </c>
      <c r="L318" s="3">
        <f>SUM(SalesData3[Sales Amount (PKR)])</f>
        <v>11946830</v>
      </c>
    </row>
    <row r="319" spans="1:12" ht="14.25" customHeight="1" x14ac:dyDescent="0.45">
      <c r="A319" t="s">
        <v>590</v>
      </c>
      <c r="B319" s="2" t="s">
        <v>591</v>
      </c>
      <c r="C319" t="s">
        <v>96</v>
      </c>
      <c r="D319" t="s">
        <v>398</v>
      </c>
      <c r="E319" t="s">
        <v>448</v>
      </c>
      <c r="F319" t="s">
        <v>117</v>
      </c>
      <c r="G319">
        <v>2</v>
      </c>
      <c r="H319" s="3">
        <v>2260</v>
      </c>
      <c r="I319" s="3">
        <v>4520</v>
      </c>
      <c r="J319" t="s">
        <v>82</v>
      </c>
      <c r="K319" t="s">
        <v>93</v>
      </c>
      <c r="L319" s="3">
        <f>SUM(SalesData3[Sales Amount (PKR)])</f>
        <v>11946830</v>
      </c>
    </row>
    <row r="320" spans="1:12" ht="14.25" customHeight="1" x14ac:dyDescent="0.45">
      <c r="A320" t="s">
        <v>592</v>
      </c>
      <c r="B320" s="2" t="s">
        <v>593</v>
      </c>
      <c r="C320" t="s">
        <v>100</v>
      </c>
      <c r="D320" t="s">
        <v>398</v>
      </c>
      <c r="E320" t="s">
        <v>448</v>
      </c>
      <c r="F320" t="s">
        <v>86</v>
      </c>
      <c r="G320">
        <v>2</v>
      </c>
      <c r="H320" s="3">
        <v>2250</v>
      </c>
      <c r="I320" s="3">
        <v>4500</v>
      </c>
      <c r="J320" t="s">
        <v>76</v>
      </c>
      <c r="K320" t="s">
        <v>83</v>
      </c>
      <c r="L320" s="3">
        <f>SUM(SalesData3[Sales Amount (PKR)])</f>
        <v>11946830</v>
      </c>
    </row>
    <row r="321" spans="1:12" ht="14.25" customHeight="1" x14ac:dyDescent="0.45">
      <c r="A321" t="s">
        <v>594</v>
      </c>
      <c r="B321" s="2" t="s">
        <v>595</v>
      </c>
      <c r="C321" t="s">
        <v>96</v>
      </c>
      <c r="D321" t="s">
        <v>196</v>
      </c>
      <c r="E321" t="s">
        <v>300</v>
      </c>
      <c r="F321" t="s">
        <v>123</v>
      </c>
      <c r="G321">
        <v>1</v>
      </c>
      <c r="H321" s="3">
        <v>4500</v>
      </c>
      <c r="I321" s="3">
        <v>4500</v>
      </c>
      <c r="J321" t="s">
        <v>82</v>
      </c>
      <c r="K321" t="s">
        <v>83</v>
      </c>
      <c r="L321" s="3">
        <f>SUM(SalesData3[Sales Amount (PKR)])</f>
        <v>11946830</v>
      </c>
    </row>
    <row r="322" spans="1:12" ht="14.25" customHeight="1" x14ac:dyDescent="0.45">
      <c r="A322" t="s">
        <v>596</v>
      </c>
      <c r="B322" s="2" t="s">
        <v>597</v>
      </c>
      <c r="C322" t="s">
        <v>96</v>
      </c>
      <c r="D322" t="s">
        <v>196</v>
      </c>
      <c r="E322" t="s">
        <v>300</v>
      </c>
      <c r="F322" t="s">
        <v>131</v>
      </c>
      <c r="G322">
        <v>1</v>
      </c>
      <c r="H322" s="3">
        <v>4450</v>
      </c>
      <c r="I322" s="3">
        <v>4450</v>
      </c>
      <c r="J322" t="s">
        <v>82</v>
      </c>
      <c r="K322" t="s">
        <v>93</v>
      </c>
      <c r="L322" s="3">
        <f>SUM(SalesData3[Sales Amount (PKR)])</f>
        <v>11946830</v>
      </c>
    </row>
    <row r="323" spans="1:12" ht="14.25" customHeight="1" x14ac:dyDescent="0.45">
      <c r="A323" t="s">
        <v>598</v>
      </c>
      <c r="B323" s="2" t="s">
        <v>562</v>
      </c>
      <c r="C323" t="s">
        <v>96</v>
      </c>
      <c r="D323" t="s">
        <v>196</v>
      </c>
      <c r="E323" t="s">
        <v>300</v>
      </c>
      <c r="F323" t="s">
        <v>75</v>
      </c>
      <c r="G323">
        <v>1</v>
      </c>
      <c r="H323" s="3">
        <v>4450</v>
      </c>
      <c r="I323" s="3">
        <v>4450</v>
      </c>
      <c r="J323" t="s">
        <v>82</v>
      </c>
      <c r="K323" t="s">
        <v>83</v>
      </c>
      <c r="L323" s="3">
        <f>SUM(SalesData3[Sales Amount (PKR)])</f>
        <v>11946830</v>
      </c>
    </row>
    <row r="324" spans="1:12" ht="14.25" customHeight="1" x14ac:dyDescent="0.45">
      <c r="A324" t="s">
        <v>599</v>
      </c>
      <c r="B324" s="2" t="s">
        <v>122</v>
      </c>
      <c r="C324" t="s">
        <v>96</v>
      </c>
      <c r="D324" t="s">
        <v>196</v>
      </c>
      <c r="E324" t="s">
        <v>300</v>
      </c>
      <c r="F324" t="s">
        <v>75</v>
      </c>
      <c r="G324">
        <v>1</v>
      </c>
      <c r="H324" s="3">
        <v>4430</v>
      </c>
      <c r="I324" s="3">
        <v>4430</v>
      </c>
      <c r="J324" t="s">
        <v>76</v>
      </c>
      <c r="K324" t="s">
        <v>83</v>
      </c>
      <c r="L324" s="3">
        <f>SUM(SalesData3[Sales Amount (PKR)])</f>
        <v>11946830</v>
      </c>
    </row>
    <row r="325" spans="1:12" ht="14.25" customHeight="1" x14ac:dyDescent="0.45">
      <c r="A325" t="s">
        <v>600</v>
      </c>
      <c r="B325" s="2" t="s">
        <v>278</v>
      </c>
      <c r="C325" t="s">
        <v>89</v>
      </c>
      <c r="D325" t="s">
        <v>196</v>
      </c>
      <c r="E325" t="s">
        <v>300</v>
      </c>
      <c r="F325" t="s">
        <v>90</v>
      </c>
      <c r="G325">
        <v>1</v>
      </c>
      <c r="H325" s="3">
        <v>4430</v>
      </c>
      <c r="I325" s="3">
        <v>4430</v>
      </c>
      <c r="J325" t="s">
        <v>76</v>
      </c>
      <c r="K325" t="s">
        <v>83</v>
      </c>
      <c r="L325" s="3">
        <f>SUM(SalesData3[Sales Amount (PKR)])</f>
        <v>11946830</v>
      </c>
    </row>
    <row r="326" spans="1:12" ht="14.25" customHeight="1" x14ac:dyDescent="0.45">
      <c r="A326" t="s">
        <v>601</v>
      </c>
      <c r="B326" s="2" t="s">
        <v>295</v>
      </c>
      <c r="C326" t="s">
        <v>72</v>
      </c>
      <c r="D326" t="s">
        <v>398</v>
      </c>
      <c r="E326" t="s">
        <v>448</v>
      </c>
      <c r="F326" t="s">
        <v>107</v>
      </c>
      <c r="G326">
        <v>2</v>
      </c>
      <c r="H326" s="3">
        <v>2210</v>
      </c>
      <c r="I326" s="3">
        <v>4420</v>
      </c>
      <c r="J326" t="s">
        <v>82</v>
      </c>
      <c r="K326" t="s">
        <v>93</v>
      </c>
      <c r="L326" s="3">
        <f>SUM(SalesData3[Sales Amount (PKR)])</f>
        <v>11946830</v>
      </c>
    </row>
    <row r="327" spans="1:12" ht="14.25" customHeight="1" x14ac:dyDescent="0.45">
      <c r="A327" t="s">
        <v>602</v>
      </c>
      <c r="B327" s="2" t="s">
        <v>502</v>
      </c>
      <c r="C327" t="s">
        <v>96</v>
      </c>
      <c r="D327" t="s">
        <v>196</v>
      </c>
      <c r="E327" t="s">
        <v>300</v>
      </c>
      <c r="F327" t="s">
        <v>81</v>
      </c>
      <c r="G327">
        <v>1</v>
      </c>
      <c r="H327" s="3">
        <v>4420</v>
      </c>
      <c r="I327" s="3">
        <v>4420</v>
      </c>
      <c r="J327" t="s">
        <v>76</v>
      </c>
      <c r="K327" t="s">
        <v>77</v>
      </c>
      <c r="L327" s="3">
        <f>SUM(SalesData3[Sales Amount (PKR)])</f>
        <v>11946830</v>
      </c>
    </row>
    <row r="328" spans="1:12" ht="14.25" customHeight="1" x14ac:dyDescent="0.45">
      <c r="A328" t="s">
        <v>603</v>
      </c>
      <c r="B328" s="2" t="s">
        <v>455</v>
      </c>
      <c r="C328" t="s">
        <v>80</v>
      </c>
      <c r="D328" t="s">
        <v>196</v>
      </c>
      <c r="E328" t="s">
        <v>300</v>
      </c>
      <c r="F328" t="s">
        <v>75</v>
      </c>
      <c r="G328">
        <v>1</v>
      </c>
      <c r="H328" s="3">
        <v>4410</v>
      </c>
      <c r="I328" s="3">
        <v>4410</v>
      </c>
      <c r="J328" t="s">
        <v>82</v>
      </c>
      <c r="K328" t="s">
        <v>77</v>
      </c>
      <c r="L328" s="3">
        <f>SUM(SalesData3[Sales Amount (PKR)])</f>
        <v>11946830</v>
      </c>
    </row>
    <row r="329" spans="1:12" ht="14.25" customHeight="1" x14ac:dyDescent="0.45">
      <c r="A329" t="s">
        <v>604</v>
      </c>
      <c r="B329" s="2" t="s">
        <v>337</v>
      </c>
      <c r="C329" t="s">
        <v>96</v>
      </c>
      <c r="D329" t="s">
        <v>196</v>
      </c>
      <c r="E329" t="s">
        <v>300</v>
      </c>
      <c r="F329" t="s">
        <v>81</v>
      </c>
      <c r="G329">
        <v>1</v>
      </c>
      <c r="H329" s="3">
        <v>4410</v>
      </c>
      <c r="I329" s="3">
        <v>4410</v>
      </c>
      <c r="J329" t="s">
        <v>82</v>
      </c>
      <c r="K329" t="s">
        <v>83</v>
      </c>
      <c r="L329" s="3">
        <f>SUM(SalesData3[Sales Amount (PKR)])</f>
        <v>11946830</v>
      </c>
    </row>
    <row r="330" spans="1:12" ht="14.25" customHeight="1" x14ac:dyDescent="0.45">
      <c r="A330" t="s">
        <v>605</v>
      </c>
      <c r="B330" s="2" t="s">
        <v>146</v>
      </c>
      <c r="C330" t="s">
        <v>100</v>
      </c>
      <c r="D330" t="s">
        <v>196</v>
      </c>
      <c r="E330" t="s">
        <v>300</v>
      </c>
      <c r="F330" t="s">
        <v>75</v>
      </c>
      <c r="G330">
        <v>1</v>
      </c>
      <c r="H330" s="3">
        <v>4410</v>
      </c>
      <c r="I330" s="3">
        <v>4410</v>
      </c>
      <c r="J330" t="s">
        <v>76</v>
      </c>
      <c r="K330" t="s">
        <v>77</v>
      </c>
      <c r="L330" s="3">
        <f>SUM(SalesData3[Sales Amount (PKR)])</f>
        <v>11946830</v>
      </c>
    </row>
    <row r="331" spans="1:12" ht="14.25" customHeight="1" x14ac:dyDescent="0.45">
      <c r="A331" t="s">
        <v>606</v>
      </c>
      <c r="B331" s="2" t="s">
        <v>607</v>
      </c>
      <c r="C331" t="s">
        <v>89</v>
      </c>
      <c r="D331" t="s">
        <v>196</v>
      </c>
      <c r="E331" t="s">
        <v>300</v>
      </c>
      <c r="F331" t="s">
        <v>123</v>
      </c>
      <c r="G331">
        <v>1</v>
      </c>
      <c r="H331" s="3">
        <v>4400</v>
      </c>
      <c r="I331" s="3">
        <v>4400</v>
      </c>
      <c r="J331" t="s">
        <v>76</v>
      </c>
      <c r="K331" t="s">
        <v>83</v>
      </c>
      <c r="L331" s="3">
        <f>SUM(SalesData3[Sales Amount (PKR)])</f>
        <v>11946830</v>
      </c>
    </row>
    <row r="332" spans="1:12" ht="14.25" customHeight="1" x14ac:dyDescent="0.45">
      <c r="A332" t="s">
        <v>608</v>
      </c>
      <c r="B332" s="2" t="s">
        <v>401</v>
      </c>
      <c r="C332" t="s">
        <v>89</v>
      </c>
      <c r="D332" t="s">
        <v>196</v>
      </c>
      <c r="E332" t="s">
        <v>300</v>
      </c>
      <c r="F332" t="s">
        <v>107</v>
      </c>
      <c r="G332">
        <v>1</v>
      </c>
      <c r="H332" s="3">
        <v>4390</v>
      </c>
      <c r="I332" s="3">
        <v>4390</v>
      </c>
      <c r="J332" t="s">
        <v>82</v>
      </c>
      <c r="K332" t="s">
        <v>93</v>
      </c>
      <c r="L332" s="3">
        <f>SUM(SalesData3[Sales Amount (PKR)])</f>
        <v>11946830</v>
      </c>
    </row>
    <row r="333" spans="1:12" ht="14.25" customHeight="1" x14ac:dyDescent="0.45">
      <c r="A333" t="s">
        <v>609</v>
      </c>
      <c r="B333" s="2" t="s">
        <v>240</v>
      </c>
      <c r="C333" t="s">
        <v>72</v>
      </c>
      <c r="D333" t="s">
        <v>196</v>
      </c>
      <c r="E333" t="s">
        <v>300</v>
      </c>
      <c r="F333" t="s">
        <v>117</v>
      </c>
      <c r="G333">
        <v>1</v>
      </c>
      <c r="H333" s="3">
        <v>4390</v>
      </c>
      <c r="I333" s="3">
        <v>4390</v>
      </c>
      <c r="J333" t="s">
        <v>76</v>
      </c>
      <c r="K333" t="s">
        <v>93</v>
      </c>
      <c r="L333" s="3">
        <f>SUM(SalesData3[Sales Amount (PKR)])</f>
        <v>11946830</v>
      </c>
    </row>
    <row r="334" spans="1:12" ht="14.25" customHeight="1" x14ac:dyDescent="0.45">
      <c r="A334" t="s">
        <v>610</v>
      </c>
      <c r="B334" s="2" t="s">
        <v>369</v>
      </c>
      <c r="C334" t="s">
        <v>96</v>
      </c>
      <c r="D334" t="s">
        <v>398</v>
      </c>
      <c r="E334" t="s">
        <v>448</v>
      </c>
      <c r="F334" t="s">
        <v>86</v>
      </c>
      <c r="G334">
        <v>2</v>
      </c>
      <c r="H334" s="3">
        <v>2190</v>
      </c>
      <c r="I334" s="3">
        <v>4380</v>
      </c>
      <c r="J334" t="s">
        <v>76</v>
      </c>
      <c r="K334" t="s">
        <v>93</v>
      </c>
      <c r="L334" s="3">
        <f>SUM(SalesData3[Sales Amount (PKR)])</f>
        <v>11946830</v>
      </c>
    </row>
    <row r="335" spans="1:12" ht="14.25" customHeight="1" x14ac:dyDescent="0.45">
      <c r="A335" t="s">
        <v>611</v>
      </c>
      <c r="B335" s="2" t="s">
        <v>103</v>
      </c>
      <c r="C335" t="s">
        <v>96</v>
      </c>
      <c r="D335" t="s">
        <v>196</v>
      </c>
      <c r="E335" t="s">
        <v>300</v>
      </c>
      <c r="F335" t="s">
        <v>90</v>
      </c>
      <c r="G335">
        <v>1</v>
      </c>
      <c r="H335" s="3">
        <v>4370</v>
      </c>
      <c r="I335" s="3">
        <v>4370</v>
      </c>
      <c r="J335" t="s">
        <v>76</v>
      </c>
      <c r="K335" t="s">
        <v>83</v>
      </c>
      <c r="L335" s="3">
        <f>SUM(SalesData3[Sales Amount (PKR)])</f>
        <v>11946830</v>
      </c>
    </row>
    <row r="336" spans="1:12" ht="14.25" customHeight="1" x14ac:dyDescent="0.45">
      <c r="A336" t="s">
        <v>612</v>
      </c>
      <c r="B336" s="2" t="s">
        <v>119</v>
      </c>
      <c r="C336" t="s">
        <v>100</v>
      </c>
      <c r="D336" t="s">
        <v>398</v>
      </c>
      <c r="E336" t="s">
        <v>462</v>
      </c>
      <c r="F336" t="s">
        <v>90</v>
      </c>
      <c r="G336">
        <v>2</v>
      </c>
      <c r="H336" s="3">
        <v>2180</v>
      </c>
      <c r="I336" s="3">
        <v>4360</v>
      </c>
      <c r="J336" t="s">
        <v>76</v>
      </c>
      <c r="K336" t="s">
        <v>83</v>
      </c>
      <c r="L336" s="3">
        <f>SUM(SalesData3[Sales Amount (PKR)])</f>
        <v>11946830</v>
      </c>
    </row>
    <row r="337" spans="1:12" ht="14.25" customHeight="1" x14ac:dyDescent="0.45">
      <c r="A337" t="s">
        <v>613</v>
      </c>
      <c r="B337" s="2" t="s">
        <v>127</v>
      </c>
      <c r="C337" t="s">
        <v>100</v>
      </c>
      <c r="D337" t="s">
        <v>398</v>
      </c>
      <c r="E337" t="s">
        <v>462</v>
      </c>
      <c r="F337" t="s">
        <v>75</v>
      </c>
      <c r="G337">
        <v>2</v>
      </c>
      <c r="H337" s="3">
        <v>2180</v>
      </c>
      <c r="I337" s="3">
        <v>4360</v>
      </c>
      <c r="J337" t="s">
        <v>82</v>
      </c>
      <c r="K337" t="s">
        <v>93</v>
      </c>
      <c r="L337" s="3">
        <f>SUM(SalesData3[Sales Amount (PKR)])</f>
        <v>11946830</v>
      </c>
    </row>
    <row r="338" spans="1:12" ht="14.25" customHeight="1" x14ac:dyDescent="0.45">
      <c r="A338" t="s">
        <v>614</v>
      </c>
      <c r="B338" s="2" t="s">
        <v>414</v>
      </c>
      <c r="C338" t="s">
        <v>96</v>
      </c>
      <c r="D338" t="s">
        <v>398</v>
      </c>
      <c r="E338" t="s">
        <v>448</v>
      </c>
      <c r="F338" t="s">
        <v>97</v>
      </c>
      <c r="G338">
        <v>2</v>
      </c>
      <c r="H338" s="3">
        <v>2180</v>
      </c>
      <c r="I338" s="3">
        <v>4360</v>
      </c>
      <c r="J338" t="s">
        <v>76</v>
      </c>
      <c r="K338" t="s">
        <v>77</v>
      </c>
      <c r="L338" s="3">
        <f>SUM(SalesData3[Sales Amount (PKR)])</f>
        <v>11946830</v>
      </c>
    </row>
    <row r="339" spans="1:12" ht="14.25" customHeight="1" x14ac:dyDescent="0.45">
      <c r="A339" t="s">
        <v>615</v>
      </c>
      <c r="B339" s="2" t="s">
        <v>391</v>
      </c>
      <c r="C339" t="s">
        <v>89</v>
      </c>
      <c r="D339" t="s">
        <v>196</v>
      </c>
      <c r="E339" t="s">
        <v>300</v>
      </c>
      <c r="F339" t="s">
        <v>86</v>
      </c>
      <c r="G339">
        <v>1</v>
      </c>
      <c r="H339" s="3">
        <v>4360</v>
      </c>
      <c r="I339" s="3">
        <v>4360</v>
      </c>
      <c r="J339" t="s">
        <v>76</v>
      </c>
      <c r="K339" t="s">
        <v>83</v>
      </c>
      <c r="L339" s="3">
        <f>SUM(SalesData3[Sales Amount (PKR)])</f>
        <v>11946830</v>
      </c>
    </row>
    <row r="340" spans="1:12" ht="14.25" customHeight="1" x14ac:dyDescent="0.45">
      <c r="A340" t="s">
        <v>616</v>
      </c>
      <c r="B340" s="2" t="s">
        <v>617</v>
      </c>
      <c r="C340" t="s">
        <v>89</v>
      </c>
      <c r="D340" t="s">
        <v>334</v>
      </c>
      <c r="E340" t="s">
        <v>402</v>
      </c>
      <c r="F340" t="s">
        <v>117</v>
      </c>
      <c r="G340">
        <v>1</v>
      </c>
      <c r="H340" s="3">
        <v>4360</v>
      </c>
      <c r="I340" s="3">
        <v>4360</v>
      </c>
      <c r="J340" t="s">
        <v>76</v>
      </c>
      <c r="K340" t="s">
        <v>83</v>
      </c>
      <c r="L340" s="3">
        <f>SUM(SalesData3[Sales Amount (PKR)])</f>
        <v>11946830</v>
      </c>
    </row>
    <row r="341" spans="1:12" ht="14.25" customHeight="1" x14ac:dyDescent="0.45">
      <c r="A341" t="s">
        <v>618</v>
      </c>
      <c r="B341" s="2" t="s">
        <v>324</v>
      </c>
      <c r="C341" t="s">
        <v>80</v>
      </c>
      <c r="D341" t="s">
        <v>398</v>
      </c>
      <c r="E341" t="s">
        <v>462</v>
      </c>
      <c r="F341" t="s">
        <v>140</v>
      </c>
      <c r="G341">
        <v>2</v>
      </c>
      <c r="H341" s="3">
        <v>2180</v>
      </c>
      <c r="I341" s="3">
        <v>4360</v>
      </c>
      <c r="J341" t="s">
        <v>82</v>
      </c>
      <c r="K341" t="s">
        <v>93</v>
      </c>
      <c r="L341" s="3">
        <f>SUM(SalesData3[Sales Amount (PKR)])</f>
        <v>11946830</v>
      </c>
    </row>
    <row r="342" spans="1:12" ht="14.25" customHeight="1" x14ac:dyDescent="0.45">
      <c r="A342" t="s">
        <v>619</v>
      </c>
      <c r="B342" s="2" t="s">
        <v>320</v>
      </c>
      <c r="C342" t="s">
        <v>72</v>
      </c>
      <c r="D342" t="s">
        <v>196</v>
      </c>
      <c r="E342" t="s">
        <v>300</v>
      </c>
      <c r="F342" t="s">
        <v>81</v>
      </c>
      <c r="G342">
        <v>1</v>
      </c>
      <c r="H342" s="3">
        <v>4340</v>
      </c>
      <c r="I342" s="3">
        <v>4340</v>
      </c>
      <c r="J342" t="s">
        <v>76</v>
      </c>
      <c r="K342" t="s">
        <v>83</v>
      </c>
      <c r="L342" s="3">
        <f>SUM(SalesData3[Sales Amount (PKR)])</f>
        <v>11946830</v>
      </c>
    </row>
    <row r="343" spans="1:12" ht="14.25" customHeight="1" x14ac:dyDescent="0.45">
      <c r="A343" t="s">
        <v>620</v>
      </c>
      <c r="B343" s="2" t="s">
        <v>303</v>
      </c>
      <c r="C343" t="s">
        <v>100</v>
      </c>
      <c r="D343" t="s">
        <v>196</v>
      </c>
      <c r="E343" t="s">
        <v>300</v>
      </c>
      <c r="F343" t="s">
        <v>97</v>
      </c>
      <c r="G343">
        <v>1</v>
      </c>
      <c r="H343" s="3">
        <v>4340</v>
      </c>
      <c r="I343" s="3">
        <v>4340</v>
      </c>
      <c r="J343" t="s">
        <v>76</v>
      </c>
      <c r="K343" t="s">
        <v>83</v>
      </c>
      <c r="L343" s="3">
        <f>SUM(SalesData3[Sales Amount (PKR)])</f>
        <v>11946830</v>
      </c>
    </row>
    <row r="344" spans="1:12" ht="14.25" customHeight="1" x14ac:dyDescent="0.45">
      <c r="A344" t="s">
        <v>621</v>
      </c>
      <c r="B344" s="2" t="s">
        <v>142</v>
      </c>
      <c r="C344" t="s">
        <v>89</v>
      </c>
      <c r="D344" t="s">
        <v>334</v>
      </c>
      <c r="E344" t="s">
        <v>402</v>
      </c>
      <c r="F344" t="s">
        <v>131</v>
      </c>
      <c r="G344">
        <v>1</v>
      </c>
      <c r="H344" s="3">
        <v>4330</v>
      </c>
      <c r="I344" s="3">
        <v>4330</v>
      </c>
      <c r="J344" t="s">
        <v>82</v>
      </c>
      <c r="K344" t="s">
        <v>93</v>
      </c>
      <c r="L344" s="3">
        <f>SUM(SalesData3[Sales Amount (PKR)])</f>
        <v>11946830</v>
      </c>
    </row>
    <row r="345" spans="1:12" ht="14.25" customHeight="1" x14ac:dyDescent="0.45">
      <c r="A345" t="s">
        <v>622</v>
      </c>
      <c r="B345" s="2" t="s">
        <v>202</v>
      </c>
      <c r="C345" t="s">
        <v>100</v>
      </c>
      <c r="D345" t="s">
        <v>334</v>
      </c>
      <c r="E345" t="s">
        <v>402</v>
      </c>
      <c r="F345" t="s">
        <v>140</v>
      </c>
      <c r="G345">
        <v>1</v>
      </c>
      <c r="H345" s="3">
        <v>4330</v>
      </c>
      <c r="I345" s="3">
        <v>4330</v>
      </c>
      <c r="J345" t="s">
        <v>76</v>
      </c>
      <c r="K345" t="s">
        <v>93</v>
      </c>
      <c r="L345" s="3">
        <f>SUM(SalesData3[Sales Amount (PKR)])</f>
        <v>11946830</v>
      </c>
    </row>
    <row r="346" spans="1:12" ht="14.25" customHeight="1" x14ac:dyDescent="0.45">
      <c r="A346" t="s">
        <v>623</v>
      </c>
      <c r="B346" s="2" t="s">
        <v>595</v>
      </c>
      <c r="C346" t="s">
        <v>72</v>
      </c>
      <c r="D346" t="s">
        <v>334</v>
      </c>
      <c r="E346" t="s">
        <v>402</v>
      </c>
      <c r="F346" t="s">
        <v>90</v>
      </c>
      <c r="G346">
        <v>1</v>
      </c>
      <c r="H346" s="3">
        <v>4320</v>
      </c>
      <c r="I346" s="3">
        <v>4320</v>
      </c>
      <c r="J346" t="s">
        <v>82</v>
      </c>
      <c r="K346" t="s">
        <v>83</v>
      </c>
      <c r="L346" s="3">
        <f>SUM(SalesData3[Sales Amount (PKR)])</f>
        <v>11946830</v>
      </c>
    </row>
    <row r="347" spans="1:12" ht="14.25" customHeight="1" x14ac:dyDescent="0.45">
      <c r="A347" t="s">
        <v>624</v>
      </c>
      <c r="B347" s="2" t="s">
        <v>593</v>
      </c>
      <c r="C347" t="s">
        <v>80</v>
      </c>
      <c r="D347" t="s">
        <v>398</v>
      </c>
      <c r="E347" t="s">
        <v>462</v>
      </c>
      <c r="F347" t="s">
        <v>131</v>
      </c>
      <c r="G347">
        <v>2</v>
      </c>
      <c r="H347" s="3">
        <v>2160</v>
      </c>
      <c r="I347" s="3">
        <v>4320</v>
      </c>
      <c r="J347" t="s">
        <v>76</v>
      </c>
      <c r="K347" t="s">
        <v>77</v>
      </c>
      <c r="L347" s="3">
        <f>SUM(SalesData3[Sales Amount (PKR)])</f>
        <v>11946830</v>
      </c>
    </row>
    <row r="348" spans="1:12" ht="14.25" customHeight="1" x14ac:dyDescent="0.45">
      <c r="A348" t="s">
        <v>625</v>
      </c>
      <c r="B348" s="2" t="s">
        <v>146</v>
      </c>
      <c r="C348" t="s">
        <v>72</v>
      </c>
      <c r="D348" t="s">
        <v>398</v>
      </c>
      <c r="E348" t="s">
        <v>448</v>
      </c>
      <c r="F348" t="s">
        <v>75</v>
      </c>
      <c r="G348">
        <v>2</v>
      </c>
      <c r="H348" s="3">
        <v>2160</v>
      </c>
      <c r="I348" s="3">
        <v>4320</v>
      </c>
      <c r="J348" t="s">
        <v>76</v>
      </c>
      <c r="K348" t="s">
        <v>83</v>
      </c>
      <c r="L348" s="3">
        <f>SUM(SalesData3[Sales Amount (PKR)])</f>
        <v>11946830</v>
      </c>
    </row>
    <row r="349" spans="1:12" ht="14.25" customHeight="1" x14ac:dyDescent="0.45">
      <c r="A349" t="s">
        <v>626</v>
      </c>
      <c r="B349" s="2" t="s">
        <v>627</v>
      </c>
      <c r="C349" t="s">
        <v>100</v>
      </c>
      <c r="D349" t="s">
        <v>398</v>
      </c>
      <c r="E349" t="s">
        <v>448</v>
      </c>
      <c r="F349" t="s">
        <v>123</v>
      </c>
      <c r="G349">
        <v>2</v>
      </c>
      <c r="H349" s="3">
        <v>2150</v>
      </c>
      <c r="I349" s="3">
        <v>4300</v>
      </c>
      <c r="J349" t="s">
        <v>82</v>
      </c>
      <c r="K349" t="s">
        <v>83</v>
      </c>
      <c r="L349" s="3">
        <f>SUM(SalesData3[Sales Amount (PKR)])</f>
        <v>11946830</v>
      </c>
    </row>
    <row r="350" spans="1:12" ht="14.25" customHeight="1" x14ac:dyDescent="0.45">
      <c r="A350" t="s">
        <v>628</v>
      </c>
      <c r="B350" s="2" t="s">
        <v>133</v>
      </c>
      <c r="C350" t="s">
        <v>80</v>
      </c>
      <c r="D350" t="s">
        <v>334</v>
      </c>
      <c r="E350" t="s">
        <v>402</v>
      </c>
      <c r="F350" t="s">
        <v>75</v>
      </c>
      <c r="G350">
        <v>1</v>
      </c>
      <c r="H350" s="3">
        <v>4300</v>
      </c>
      <c r="I350" s="3">
        <v>4300</v>
      </c>
      <c r="J350" t="s">
        <v>76</v>
      </c>
      <c r="K350" t="s">
        <v>93</v>
      </c>
      <c r="L350" s="3">
        <f>SUM(SalesData3[Sales Amount (PKR)])</f>
        <v>11946830</v>
      </c>
    </row>
    <row r="351" spans="1:12" ht="14.25" customHeight="1" x14ac:dyDescent="0.45">
      <c r="A351" t="s">
        <v>629</v>
      </c>
      <c r="B351" s="2" t="s">
        <v>517</v>
      </c>
      <c r="C351" t="s">
        <v>89</v>
      </c>
      <c r="D351" t="s">
        <v>334</v>
      </c>
      <c r="E351" t="s">
        <v>402</v>
      </c>
      <c r="F351" t="s">
        <v>97</v>
      </c>
      <c r="G351">
        <v>1</v>
      </c>
      <c r="H351" s="3">
        <v>4290</v>
      </c>
      <c r="I351" s="3">
        <v>4290</v>
      </c>
      <c r="J351" t="s">
        <v>76</v>
      </c>
      <c r="K351" t="s">
        <v>77</v>
      </c>
      <c r="L351" s="3">
        <f>SUM(SalesData3[Sales Amount (PKR)])</f>
        <v>11946830</v>
      </c>
    </row>
    <row r="352" spans="1:12" ht="14.25" customHeight="1" x14ac:dyDescent="0.45">
      <c r="A352" t="s">
        <v>630</v>
      </c>
      <c r="B352" s="2" t="s">
        <v>258</v>
      </c>
      <c r="C352" t="s">
        <v>100</v>
      </c>
      <c r="D352" t="s">
        <v>334</v>
      </c>
      <c r="E352" t="s">
        <v>402</v>
      </c>
      <c r="F352" t="s">
        <v>75</v>
      </c>
      <c r="G352">
        <v>1</v>
      </c>
      <c r="H352" s="3">
        <v>4290</v>
      </c>
      <c r="I352" s="3">
        <v>4290</v>
      </c>
      <c r="J352" t="s">
        <v>76</v>
      </c>
      <c r="K352" t="s">
        <v>83</v>
      </c>
      <c r="L352" s="3">
        <f>SUM(SalesData3[Sales Amount (PKR)])</f>
        <v>11946830</v>
      </c>
    </row>
    <row r="353" spans="1:12" ht="14.25" customHeight="1" x14ac:dyDescent="0.45">
      <c r="A353" t="s">
        <v>631</v>
      </c>
      <c r="B353" s="2" t="s">
        <v>632</v>
      </c>
      <c r="C353" t="s">
        <v>96</v>
      </c>
      <c r="D353" t="s">
        <v>398</v>
      </c>
      <c r="E353" t="s">
        <v>448</v>
      </c>
      <c r="F353" t="s">
        <v>107</v>
      </c>
      <c r="G353">
        <v>2</v>
      </c>
      <c r="H353" s="3">
        <v>2140</v>
      </c>
      <c r="I353" s="3">
        <v>4280</v>
      </c>
      <c r="J353" t="s">
        <v>82</v>
      </c>
      <c r="K353" t="s">
        <v>83</v>
      </c>
      <c r="L353" s="3">
        <f>SUM(SalesData3[Sales Amount (PKR)])</f>
        <v>11946830</v>
      </c>
    </row>
    <row r="354" spans="1:12" ht="14.25" customHeight="1" x14ac:dyDescent="0.45">
      <c r="A354" t="s">
        <v>633</v>
      </c>
      <c r="B354" s="2" t="s">
        <v>509</v>
      </c>
      <c r="C354" t="s">
        <v>89</v>
      </c>
      <c r="D354" t="s">
        <v>398</v>
      </c>
      <c r="E354" t="s">
        <v>462</v>
      </c>
      <c r="F354" t="s">
        <v>131</v>
      </c>
      <c r="G354">
        <v>2</v>
      </c>
      <c r="H354" s="3">
        <v>2140</v>
      </c>
      <c r="I354" s="3">
        <v>4280</v>
      </c>
      <c r="J354" t="s">
        <v>76</v>
      </c>
      <c r="K354" t="s">
        <v>93</v>
      </c>
      <c r="L354" s="3">
        <f>SUM(SalesData3[Sales Amount (PKR)])</f>
        <v>11946830</v>
      </c>
    </row>
    <row r="355" spans="1:12" ht="14.25" customHeight="1" x14ac:dyDescent="0.45">
      <c r="A355" t="s">
        <v>634</v>
      </c>
      <c r="B355" s="2" t="s">
        <v>242</v>
      </c>
      <c r="C355" t="s">
        <v>96</v>
      </c>
      <c r="D355" t="s">
        <v>334</v>
      </c>
      <c r="E355" t="s">
        <v>402</v>
      </c>
      <c r="F355" t="s">
        <v>131</v>
      </c>
      <c r="G355">
        <v>1</v>
      </c>
      <c r="H355" s="3">
        <v>4280</v>
      </c>
      <c r="I355" s="3">
        <v>4280</v>
      </c>
      <c r="J355" t="s">
        <v>76</v>
      </c>
      <c r="K355" t="s">
        <v>83</v>
      </c>
      <c r="L355" s="3">
        <f>SUM(SalesData3[Sales Amount (PKR)])</f>
        <v>11946830</v>
      </c>
    </row>
    <row r="356" spans="1:12" ht="14.25" customHeight="1" x14ac:dyDescent="0.45">
      <c r="A356" t="s">
        <v>635</v>
      </c>
      <c r="B356" s="2" t="s">
        <v>337</v>
      </c>
      <c r="C356" t="s">
        <v>89</v>
      </c>
      <c r="D356" t="s">
        <v>398</v>
      </c>
      <c r="E356" t="s">
        <v>448</v>
      </c>
      <c r="F356" t="s">
        <v>117</v>
      </c>
      <c r="G356">
        <v>2</v>
      </c>
      <c r="H356" s="3">
        <v>2130</v>
      </c>
      <c r="I356" s="3">
        <v>4260</v>
      </c>
      <c r="J356" t="s">
        <v>76</v>
      </c>
      <c r="K356" t="s">
        <v>77</v>
      </c>
      <c r="L356" s="3">
        <f>SUM(SalesData3[Sales Amount (PKR)])</f>
        <v>11946830</v>
      </c>
    </row>
    <row r="357" spans="1:12" ht="14.25" customHeight="1" x14ac:dyDescent="0.45">
      <c r="A357" t="s">
        <v>636</v>
      </c>
      <c r="B357" s="2" t="s">
        <v>115</v>
      </c>
      <c r="C357" t="s">
        <v>89</v>
      </c>
      <c r="D357" t="s">
        <v>398</v>
      </c>
      <c r="E357" t="s">
        <v>448</v>
      </c>
      <c r="F357" t="s">
        <v>107</v>
      </c>
      <c r="G357">
        <v>2</v>
      </c>
      <c r="H357" s="3">
        <v>2130</v>
      </c>
      <c r="I357" s="3">
        <v>4260</v>
      </c>
      <c r="J357" t="s">
        <v>76</v>
      </c>
      <c r="K357" t="s">
        <v>93</v>
      </c>
      <c r="L357" s="3">
        <f>SUM(SalesData3[Sales Amount (PKR)])</f>
        <v>11946830</v>
      </c>
    </row>
    <row r="358" spans="1:12" ht="14.25" customHeight="1" x14ac:dyDescent="0.45">
      <c r="A358" t="s">
        <v>637</v>
      </c>
      <c r="B358" s="2" t="s">
        <v>242</v>
      </c>
      <c r="C358" t="s">
        <v>80</v>
      </c>
      <c r="D358" t="s">
        <v>398</v>
      </c>
      <c r="E358" t="s">
        <v>448</v>
      </c>
      <c r="F358" t="s">
        <v>81</v>
      </c>
      <c r="G358">
        <v>2</v>
      </c>
      <c r="H358" s="3">
        <v>2130</v>
      </c>
      <c r="I358" s="3">
        <v>4260</v>
      </c>
      <c r="J358" t="s">
        <v>76</v>
      </c>
      <c r="K358" t="s">
        <v>93</v>
      </c>
      <c r="L358" s="3">
        <f>SUM(SalesData3[Sales Amount (PKR)])</f>
        <v>11946830</v>
      </c>
    </row>
    <row r="359" spans="1:12" ht="14.25" customHeight="1" x14ac:dyDescent="0.45">
      <c r="A359" t="s">
        <v>638</v>
      </c>
      <c r="B359" s="2" t="s">
        <v>517</v>
      </c>
      <c r="C359" t="s">
        <v>100</v>
      </c>
      <c r="D359" t="s">
        <v>398</v>
      </c>
      <c r="E359" t="s">
        <v>448</v>
      </c>
      <c r="F359" t="s">
        <v>131</v>
      </c>
      <c r="G359">
        <v>2</v>
      </c>
      <c r="H359" s="3">
        <v>2130</v>
      </c>
      <c r="I359" s="3">
        <v>4260</v>
      </c>
      <c r="J359" t="s">
        <v>82</v>
      </c>
      <c r="K359" t="s">
        <v>83</v>
      </c>
      <c r="L359" s="3">
        <f>SUM(SalesData3[Sales Amount (PKR)])</f>
        <v>11946830</v>
      </c>
    </row>
    <row r="360" spans="1:12" ht="14.25" customHeight="1" x14ac:dyDescent="0.45">
      <c r="A360" t="s">
        <v>639</v>
      </c>
      <c r="B360" s="2" t="s">
        <v>436</v>
      </c>
      <c r="C360" t="s">
        <v>96</v>
      </c>
      <c r="D360" t="s">
        <v>334</v>
      </c>
      <c r="E360" t="s">
        <v>402</v>
      </c>
      <c r="F360" t="s">
        <v>140</v>
      </c>
      <c r="G360">
        <v>1</v>
      </c>
      <c r="H360" s="3">
        <v>4250</v>
      </c>
      <c r="I360" s="3">
        <v>4250</v>
      </c>
      <c r="J360" t="s">
        <v>82</v>
      </c>
      <c r="K360" t="s">
        <v>77</v>
      </c>
      <c r="L360" s="3">
        <f>SUM(SalesData3[Sales Amount (PKR)])</f>
        <v>11946830</v>
      </c>
    </row>
    <row r="361" spans="1:12" ht="14.25" customHeight="1" x14ac:dyDescent="0.45">
      <c r="A361" t="s">
        <v>640</v>
      </c>
      <c r="B361" s="2" t="s">
        <v>562</v>
      </c>
      <c r="C361" t="s">
        <v>89</v>
      </c>
      <c r="D361" t="s">
        <v>334</v>
      </c>
      <c r="E361" t="s">
        <v>402</v>
      </c>
      <c r="F361" t="s">
        <v>117</v>
      </c>
      <c r="G361">
        <v>1</v>
      </c>
      <c r="H361" s="3">
        <v>4240</v>
      </c>
      <c r="I361" s="3">
        <v>4240</v>
      </c>
      <c r="J361" t="s">
        <v>76</v>
      </c>
      <c r="K361" t="s">
        <v>93</v>
      </c>
      <c r="L361" s="3">
        <f>SUM(SalesData3[Sales Amount (PKR)])</f>
        <v>11946830</v>
      </c>
    </row>
    <row r="362" spans="1:12" ht="14.25" customHeight="1" x14ac:dyDescent="0.45">
      <c r="A362" t="s">
        <v>641</v>
      </c>
      <c r="B362" s="2" t="s">
        <v>79</v>
      </c>
      <c r="C362" t="s">
        <v>96</v>
      </c>
      <c r="D362" t="s">
        <v>334</v>
      </c>
      <c r="E362" t="s">
        <v>402</v>
      </c>
      <c r="F362" t="s">
        <v>107</v>
      </c>
      <c r="G362">
        <v>1</v>
      </c>
      <c r="H362" s="3">
        <v>4240</v>
      </c>
      <c r="I362" s="3">
        <v>4240</v>
      </c>
      <c r="J362" t="s">
        <v>76</v>
      </c>
      <c r="K362" t="s">
        <v>77</v>
      </c>
      <c r="L362" s="3">
        <f>SUM(SalesData3[Sales Amount (PKR)])</f>
        <v>11946830</v>
      </c>
    </row>
    <row r="363" spans="1:12" ht="14.25" customHeight="1" x14ac:dyDescent="0.45">
      <c r="A363" t="s">
        <v>642</v>
      </c>
      <c r="B363" s="2" t="s">
        <v>146</v>
      </c>
      <c r="C363" t="s">
        <v>72</v>
      </c>
      <c r="D363" t="s">
        <v>334</v>
      </c>
      <c r="E363" t="s">
        <v>402</v>
      </c>
      <c r="F363" t="s">
        <v>131</v>
      </c>
      <c r="G363">
        <v>1</v>
      </c>
      <c r="H363" s="3">
        <v>4230</v>
      </c>
      <c r="I363" s="3">
        <v>4230</v>
      </c>
      <c r="J363" t="s">
        <v>82</v>
      </c>
      <c r="K363" t="s">
        <v>77</v>
      </c>
      <c r="L363" s="3">
        <f>SUM(SalesData3[Sales Amount (PKR)])</f>
        <v>11946830</v>
      </c>
    </row>
    <row r="364" spans="1:12" ht="14.25" customHeight="1" x14ac:dyDescent="0.45">
      <c r="A364" t="s">
        <v>643</v>
      </c>
      <c r="B364" s="2" t="s">
        <v>367</v>
      </c>
      <c r="C364" t="s">
        <v>96</v>
      </c>
      <c r="D364" t="s">
        <v>334</v>
      </c>
      <c r="E364" t="s">
        <v>402</v>
      </c>
      <c r="F364" t="s">
        <v>90</v>
      </c>
      <c r="G364">
        <v>1</v>
      </c>
      <c r="H364" s="3">
        <v>4230</v>
      </c>
      <c r="I364" s="3">
        <v>4230</v>
      </c>
      <c r="J364" t="s">
        <v>76</v>
      </c>
      <c r="K364" t="s">
        <v>77</v>
      </c>
      <c r="L364" s="3">
        <f>SUM(SalesData3[Sales Amount (PKR)])</f>
        <v>11946830</v>
      </c>
    </row>
    <row r="365" spans="1:12" ht="14.25" customHeight="1" x14ac:dyDescent="0.45">
      <c r="A365" t="s">
        <v>644</v>
      </c>
      <c r="B365" s="2" t="s">
        <v>309</v>
      </c>
      <c r="C365" t="s">
        <v>89</v>
      </c>
      <c r="D365" t="s">
        <v>398</v>
      </c>
      <c r="E365" t="s">
        <v>462</v>
      </c>
      <c r="F365" t="s">
        <v>86</v>
      </c>
      <c r="G365">
        <v>2</v>
      </c>
      <c r="H365" s="3">
        <v>2110</v>
      </c>
      <c r="I365" s="3">
        <v>4220</v>
      </c>
      <c r="J365" t="s">
        <v>76</v>
      </c>
      <c r="K365" t="s">
        <v>83</v>
      </c>
      <c r="L365" s="3">
        <f>SUM(SalesData3[Sales Amount (PKR)])</f>
        <v>11946830</v>
      </c>
    </row>
    <row r="366" spans="1:12" ht="14.25" customHeight="1" x14ac:dyDescent="0.45">
      <c r="A366" t="s">
        <v>645</v>
      </c>
      <c r="B366" s="2" t="s">
        <v>646</v>
      </c>
      <c r="C366" t="s">
        <v>80</v>
      </c>
      <c r="D366" t="s">
        <v>334</v>
      </c>
      <c r="E366" t="s">
        <v>402</v>
      </c>
      <c r="F366" t="s">
        <v>140</v>
      </c>
      <c r="G366">
        <v>1</v>
      </c>
      <c r="H366" s="3">
        <v>4210</v>
      </c>
      <c r="I366" s="3">
        <v>4210</v>
      </c>
      <c r="J366" t="s">
        <v>82</v>
      </c>
      <c r="K366" t="s">
        <v>77</v>
      </c>
      <c r="L366" s="3">
        <f>SUM(SalesData3[Sales Amount (PKR)])</f>
        <v>11946830</v>
      </c>
    </row>
    <row r="367" spans="1:12" ht="14.25" customHeight="1" x14ac:dyDescent="0.45">
      <c r="A367" t="s">
        <v>647</v>
      </c>
      <c r="B367" s="2" t="s">
        <v>648</v>
      </c>
      <c r="C367" t="s">
        <v>89</v>
      </c>
      <c r="D367" t="s">
        <v>334</v>
      </c>
      <c r="E367" t="s">
        <v>402</v>
      </c>
      <c r="F367" t="s">
        <v>75</v>
      </c>
      <c r="G367">
        <v>1</v>
      </c>
      <c r="H367" s="3">
        <v>4210</v>
      </c>
      <c r="I367" s="3">
        <v>4210</v>
      </c>
      <c r="J367" t="s">
        <v>82</v>
      </c>
      <c r="K367" t="s">
        <v>77</v>
      </c>
      <c r="L367" s="3">
        <f>SUM(SalesData3[Sales Amount (PKR)])</f>
        <v>11946830</v>
      </c>
    </row>
    <row r="368" spans="1:12" ht="14.25" customHeight="1" x14ac:dyDescent="0.45">
      <c r="A368" t="s">
        <v>649</v>
      </c>
      <c r="B368" s="2" t="s">
        <v>414</v>
      </c>
      <c r="C368" t="s">
        <v>89</v>
      </c>
      <c r="D368" t="s">
        <v>398</v>
      </c>
      <c r="E368" t="s">
        <v>462</v>
      </c>
      <c r="F368" t="s">
        <v>131</v>
      </c>
      <c r="G368">
        <v>2</v>
      </c>
      <c r="H368" s="3">
        <v>2100</v>
      </c>
      <c r="I368" s="3">
        <v>4200</v>
      </c>
      <c r="J368" t="s">
        <v>76</v>
      </c>
      <c r="K368" t="s">
        <v>83</v>
      </c>
      <c r="L368" s="3">
        <f>SUM(SalesData3[Sales Amount (PKR)])</f>
        <v>11946830</v>
      </c>
    </row>
    <row r="369" spans="1:12" ht="14.25" customHeight="1" x14ac:dyDescent="0.45">
      <c r="A369" t="s">
        <v>650</v>
      </c>
      <c r="B369" s="2" t="s">
        <v>71</v>
      </c>
      <c r="C369" t="s">
        <v>96</v>
      </c>
      <c r="D369" t="s">
        <v>398</v>
      </c>
      <c r="E369" t="s">
        <v>462</v>
      </c>
      <c r="F369" t="s">
        <v>117</v>
      </c>
      <c r="G369">
        <v>2</v>
      </c>
      <c r="H369" s="3">
        <v>2100</v>
      </c>
      <c r="I369" s="3">
        <v>4200</v>
      </c>
      <c r="J369" t="s">
        <v>82</v>
      </c>
      <c r="K369" t="s">
        <v>83</v>
      </c>
      <c r="L369" s="3">
        <f>SUM(SalesData3[Sales Amount (PKR)])</f>
        <v>11946830</v>
      </c>
    </row>
    <row r="370" spans="1:12" ht="14.25" customHeight="1" x14ac:dyDescent="0.45">
      <c r="A370" t="s">
        <v>651</v>
      </c>
      <c r="B370" s="2" t="s">
        <v>171</v>
      </c>
      <c r="C370" t="s">
        <v>72</v>
      </c>
      <c r="D370" t="s">
        <v>334</v>
      </c>
      <c r="E370" t="s">
        <v>402</v>
      </c>
      <c r="F370" t="s">
        <v>90</v>
      </c>
      <c r="G370">
        <v>1</v>
      </c>
      <c r="H370" s="3">
        <v>4190</v>
      </c>
      <c r="I370" s="3">
        <v>4190</v>
      </c>
      <c r="J370" t="s">
        <v>82</v>
      </c>
      <c r="K370" t="s">
        <v>93</v>
      </c>
      <c r="L370" s="3">
        <f>SUM(SalesData3[Sales Amount (PKR)])</f>
        <v>11946830</v>
      </c>
    </row>
    <row r="371" spans="1:12" ht="14.25" customHeight="1" x14ac:dyDescent="0.45">
      <c r="A371" t="s">
        <v>652</v>
      </c>
      <c r="B371" s="2" t="s">
        <v>162</v>
      </c>
      <c r="C371" t="s">
        <v>89</v>
      </c>
      <c r="D371" t="s">
        <v>334</v>
      </c>
      <c r="E371" t="s">
        <v>402</v>
      </c>
      <c r="F371" t="s">
        <v>97</v>
      </c>
      <c r="G371">
        <v>1</v>
      </c>
      <c r="H371" s="3">
        <v>4190</v>
      </c>
      <c r="I371" s="3">
        <v>4190</v>
      </c>
      <c r="J371" t="s">
        <v>82</v>
      </c>
      <c r="K371" t="s">
        <v>93</v>
      </c>
      <c r="L371" s="3">
        <f>SUM(SalesData3[Sales Amount (PKR)])</f>
        <v>11946830</v>
      </c>
    </row>
    <row r="372" spans="1:12" ht="14.25" customHeight="1" x14ac:dyDescent="0.45">
      <c r="A372" t="s">
        <v>653</v>
      </c>
      <c r="B372" s="2" t="s">
        <v>186</v>
      </c>
      <c r="C372" t="s">
        <v>96</v>
      </c>
      <c r="D372" t="s">
        <v>334</v>
      </c>
      <c r="E372" t="s">
        <v>402</v>
      </c>
      <c r="F372" t="s">
        <v>81</v>
      </c>
      <c r="G372">
        <v>1</v>
      </c>
      <c r="H372" s="3">
        <v>4180</v>
      </c>
      <c r="I372" s="3">
        <v>4180</v>
      </c>
      <c r="J372" t="s">
        <v>76</v>
      </c>
      <c r="K372" t="s">
        <v>83</v>
      </c>
      <c r="L372" s="3">
        <f>SUM(SalesData3[Sales Amount (PKR)])</f>
        <v>11946830</v>
      </c>
    </row>
    <row r="373" spans="1:12" ht="14.25" customHeight="1" x14ac:dyDescent="0.45">
      <c r="A373" t="s">
        <v>654</v>
      </c>
      <c r="B373" s="2" t="s">
        <v>307</v>
      </c>
      <c r="C373" t="s">
        <v>96</v>
      </c>
      <c r="D373" t="s">
        <v>334</v>
      </c>
      <c r="E373" t="s">
        <v>402</v>
      </c>
      <c r="F373" t="s">
        <v>140</v>
      </c>
      <c r="G373">
        <v>1</v>
      </c>
      <c r="H373" s="3">
        <v>4180</v>
      </c>
      <c r="I373" s="3">
        <v>4180</v>
      </c>
      <c r="J373" t="s">
        <v>76</v>
      </c>
      <c r="K373" t="s">
        <v>77</v>
      </c>
      <c r="L373" s="3">
        <f>SUM(SalesData3[Sales Amount (PKR)])</f>
        <v>11946830</v>
      </c>
    </row>
    <row r="374" spans="1:12" ht="14.25" customHeight="1" x14ac:dyDescent="0.45">
      <c r="A374" t="s">
        <v>655</v>
      </c>
      <c r="B374" s="2" t="s">
        <v>656</v>
      </c>
      <c r="C374" t="s">
        <v>96</v>
      </c>
      <c r="D374" t="s">
        <v>334</v>
      </c>
      <c r="E374" t="s">
        <v>402</v>
      </c>
      <c r="F374" t="s">
        <v>75</v>
      </c>
      <c r="G374">
        <v>1</v>
      </c>
      <c r="H374" s="3">
        <v>4180</v>
      </c>
      <c r="I374" s="3">
        <v>4180</v>
      </c>
      <c r="J374" t="s">
        <v>76</v>
      </c>
      <c r="K374" t="s">
        <v>83</v>
      </c>
      <c r="L374" s="3">
        <f>SUM(SalesData3[Sales Amount (PKR)])</f>
        <v>11946830</v>
      </c>
    </row>
    <row r="375" spans="1:12" ht="14.25" customHeight="1" x14ac:dyDescent="0.45">
      <c r="A375" t="s">
        <v>657</v>
      </c>
      <c r="B375" s="2" t="s">
        <v>658</v>
      </c>
      <c r="C375" t="s">
        <v>96</v>
      </c>
      <c r="D375" t="s">
        <v>334</v>
      </c>
      <c r="E375" t="s">
        <v>402</v>
      </c>
      <c r="F375" t="s">
        <v>131</v>
      </c>
      <c r="G375">
        <v>1</v>
      </c>
      <c r="H375" s="3">
        <v>4170</v>
      </c>
      <c r="I375" s="3">
        <v>4170</v>
      </c>
      <c r="J375" t="s">
        <v>82</v>
      </c>
      <c r="K375" t="s">
        <v>83</v>
      </c>
      <c r="L375" s="3">
        <f>SUM(SalesData3[Sales Amount (PKR)])</f>
        <v>11946830</v>
      </c>
    </row>
    <row r="376" spans="1:12" ht="14.25" customHeight="1" x14ac:dyDescent="0.45">
      <c r="A376" t="s">
        <v>659</v>
      </c>
      <c r="B376" s="2" t="s">
        <v>160</v>
      </c>
      <c r="C376" t="s">
        <v>80</v>
      </c>
      <c r="D376" t="s">
        <v>334</v>
      </c>
      <c r="E376" t="s">
        <v>402</v>
      </c>
      <c r="F376" t="s">
        <v>140</v>
      </c>
      <c r="G376">
        <v>1</v>
      </c>
      <c r="H376" s="3">
        <v>4170</v>
      </c>
      <c r="I376" s="3">
        <v>4170</v>
      </c>
      <c r="J376" t="s">
        <v>82</v>
      </c>
      <c r="K376" t="s">
        <v>77</v>
      </c>
      <c r="L376" s="3">
        <f>SUM(SalesData3[Sales Amount (PKR)])</f>
        <v>11946830</v>
      </c>
    </row>
    <row r="377" spans="1:12" ht="14.25" customHeight="1" x14ac:dyDescent="0.45">
      <c r="A377" t="s">
        <v>660</v>
      </c>
      <c r="B377" s="2" t="s">
        <v>439</v>
      </c>
      <c r="C377" t="s">
        <v>96</v>
      </c>
      <c r="D377" t="s">
        <v>334</v>
      </c>
      <c r="E377" t="s">
        <v>402</v>
      </c>
      <c r="F377" t="s">
        <v>81</v>
      </c>
      <c r="G377">
        <v>1</v>
      </c>
      <c r="H377" s="3">
        <v>4170</v>
      </c>
      <c r="I377" s="3">
        <v>4170</v>
      </c>
      <c r="J377" t="s">
        <v>76</v>
      </c>
      <c r="K377" t="s">
        <v>93</v>
      </c>
      <c r="L377" s="3">
        <f>SUM(SalesData3[Sales Amount (PKR)])</f>
        <v>11946830</v>
      </c>
    </row>
    <row r="378" spans="1:12" ht="14.25" customHeight="1" x14ac:dyDescent="0.45">
      <c r="A378" t="s">
        <v>661</v>
      </c>
      <c r="B378" s="2" t="s">
        <v>445</v>
      </c>
      <c r="C378" t="s">
        <v>89</v>
      </c>
      <c r="D378" t="s">
        <v>398</v>
      </c>
      <c r="E378" t="s">
        <v>462</v>
      </c>
      <c r="F378" t="s">
        <v>97</v>
      </c>
      <c r="G378">
        <v>2</v>
      </c>
      <c r="H378" s="3">
        <v>2080</v>
      </c>
      <c r="I378" s="3">
        <v>4160</v>
      </c>
      <c r="J378" t="s">
        <v>76</v>
      </c>
      <c r="K378" t="s">
        <v>83</v>
      </c>
      <c r="L378" s="3">
        <f>SUM(SalesData3[Sales Amount (PKR)])</f>
        <v>11946830</v>
      </c>
    </row>
    <row r="379" spans="1:12" ht="14.25" customHeight="1" x14ac:dyDescent="0.45">
      <c r="A379" t="s">
        <v>662</v>
      </c>
      <c r="B379" s="2" t="s">
        <v>646</v>
      </c>
      <c r="C379" t="s">
        <v>89</v>
      </c>
      <c r="D379" t="s">
        <v>334</v>
      </c>
      <c r="E379" t="s">
        <v>402</v>
      </c>
      <c r="F379" t="s">
        <v>90</v>
      </c>
      <c r="G379">
        <v>1</v>
      </c>
      <c r="H379" s="3">
        <v>4150</v>
      </c>
      <c r="I379" s="3">
        <v>4150</v>
      </c>
      <c r="J379" t="s">
        <v>82</v>
      </c>
      <c r="K379" t="s">
        <v>83</v>
      </c>
      <c r="L379" s="3">
        <f>SUM(SalesData3[Sales Amount (PKR)])</f>
        <v>11946830</v>
      </c>
    </row>
    <row r="380" spans="1:12" ht="14.25" customHeight="1" x14ac:dyDescent="0.45">
      <c r="A380" t="s">
        <v>663</v>
      </c>
      <c r="B380" s="2" t="s">
        <v>526</v>
      </c>
      <c r="C380" t="s">
        <v>89</v>
      </c>
      <c r="D380" t="s">
        <v>334</v>
      </c>
      <c r="E380" t="s">
        <v>402</v>
      </c>
      <c r="F380" t="s">
        <v>107</v>
      </c>
      <c r="G380">
        <v>1</v>
      </c>
      <c r="H380" s="3">
        <v>4130</v>
      </c>
      <c r="I380" s="3">
        <v>4130</v>
      </c>
      <c r="J380" t="s">
        <v>76</v>
      </c>
      <c r="K380" t="s">
        <v>83</v>
      </c>
      <c r="L380" s="3">
        <f>SUM(SalesData3[Sales Amount (PKR)])</f>
        <v>11946830</v>
      </c>
    </row>
    <row r="381" spans="1:12" ht="14.25" customHeight="1" x14ac:dyDescent="0.45">
      <c r="A381" t="s">
        <v>664</v>
      </c>
      <c r="B381" s="2" t="s">
        <v>597</v>
      </c>
      <c r="C381" t="s">
        <v>89</v>
      </c>
      <c r="D381" t="s">
        <v>398</v>
      </c>
      <c r="E381" t="s">
        <v>462</v>
      </c>
      <c r="F381" t="s">
        <v>75</v>
      </c>
      <c r="G381">
        <v>2</v>
      </c>
      <c r="H381" s="3">
        <v>2060</v>
      </c>
      <c r="I381" s="3">
        <v>4120</v>
      </c>
      <c r="J381" t="s">
        <v>76</v>
      </c>
      <c r="K381" t="s">
        <v>83</v>
      </c>
      <c r="L381" s="3">
        <f>SUM(SalesData3[Sales Amount (PKR)])</f>
        <v>11946830</v>
      </c>
    </row>
    <row r="382" spans="1:12" ht="14.25" customHeight="1" x14ac:dyDescent="0.45">
      <c r="A382" t="s">
        <v>665</v>
      </c>
      <c r="B382" s="2" t="s">
        <v>85</v>
      </c>
      <c r="C382" t="s">
        <v>96</v>
      </c>
      <c r="D382" t="s">
        <v>334</v>
      </c>
      <c r="E382" t="s">
        <v>402</v>
      </c>
      <c r="F382" t="s">
        <v>86</v>
      </c>
      <c r="G382">
        <v>1</v>
      </c>
      <c r="H382" s="3">
        <v>4120</v>
      </c>
      <c r="I382" s="3">
        <v>4120</v>
      </c>
      <c r="J382" t="s">
        <v>76</v>
      </c>
      <c r="K382" t="s">
        <v>93</v>
      </c>
      <c r="L382" s="3">
        <f>SUM(SalesData3[Sales Amount (PKR)])</f>
        <v>11946830</v>
      </c>
    </row>
    <row r="383" spans="1:12" ht="14.25" customHeight="1" x14ac:dyDescent="0.45">
      <c r="A383" t="s">
        <v>666</v>
      </c>
      <c r="B383" s="2" t="s">
        <v>667</v>
      </c>
      <c r="C383" t="s">
        <v>89</v>
      </c>
      <c r="D383" t="s">
        <v>398</v>
      </c>
      <c r="E383" t="s">
        <v>462</v>
      </c>
      <c r="F383" t="s">
        <v>117</v>
      </c>
      <c r="G383">
        <v>2</v>
      </c>
      <c r="H383" s="3">
        <v>2050</v>
      </c>
      <c r="I383" s="3">
        <v>4100</v>
      </c>
      <c r="J383" t="s">
        <v>76</v>
      </c>
      <c r="K383" t="s">
        <v>83</v>
      </c>
      <c r="L383" s="3">
        <f>SUM(SalesData3[Sales Amount (PKR)])</f>
        <v>11946830</v>
      </c>
    </row>
    <row r="384" spans="1:12" ht="14.25" customHeight="1" x14ac:dyDescent="0.45">
      <c r="A384" t="s">
        <v>668</v>
      </c>
      <c r="B384" s="2" t="s">
        <v>337</v>
      </c>
      <c r="C384" t="s">
        <v>96</v>
      </c>
      <c r="D384" t="s">
        <v>398</v>
      </c>
      <c r="E384" t="s">
        <v>462</v>
      </c>
      <c r="F384" t="s">
        <v>81</v>
      </c>
      <c r="G384">
        <v>2</v>
      </c>
      <c r="H384" s="3">
        <v>2040</v>
      </c>
      <c r="I384" s="3">
        <v>4080</v>
      </c>
      <c r="J384" t="s">
        <v>76</v>
      </c>
      <c r="K384" t="s">
        <v>77</v>
      </c>
      <c r="L384" s="3">
        <f>SUM(SalesData3[Sales Amount (PKR)])</f>
        <v>11946830</v>
      </c>
    </row>
    <row r="385" spans="1:12" ht="14.25" customHeight="1" x14ac:dyDescent="0.45">
      <c r="A385" t="s">
        <v>669</v>
      </c>
      <c r="B385" s="2" t="s">
        <v>670</v>
      </c>
      <c r="C385" t="s">
        <v>72</v>
      </c>
      <c r="D385" t="s">
        <v>334</v>
      </c>
      <c r="E385" t="s">
        <v>402</v>
      </c>
      <c r="F385" t="s">
        <v>81</v>
      </c>
      <c r="G385">
        <v>1</v>
      </c>
      <c r="H385" s="3">
        <v>4080</v>
      </c>
      <c r="I385" s="3">
        <v>4080</v>
      </c>
      <c r="J385" t="s">
        <v>76</v>
      </c>
      <c r="K385" t="s">
        <v>77</v>
      </c>
      <c r="L385" s="3">
        <f>SUM(SalesData3[Sales Amount (PKR)])</f>
        <v>11946830</v>
      </c>
    </row>
    <row r="386" spans="1:12" ht="14.25" customHeight="1" x14ac:dyDescent="0.45">
      <c r="A386" t="s">
        <v>671</v>
      </c>
      <c r="B386" s="2" t="s">
        <v>436</v>
      </c>
      <c r="C386" t="s">
        <v>80</v>
      </c>
      <c r="D386" t="s">
        <v>334</v>
      </c>
      <c r="E386" t="s">
        <v>402</v>
      </c>
      <c r="F386" t="s">
        <v>123</v>
      </c>
      <c r="G386">
        <v>1</v>
      </c>
      <c r="H386" s="3">
        <v>4060</v>
      </c>
      <c r="I386" s="3">
        <v>4060</v>
      </c>
      <c r="J386" t="s">
        <v>76</v>
      </c>
      <c r="K386" t="s">
        <v>93</v>
      </c>
      <c r="L386" s="3">
        <f>SUM(SalesData3[Sales Amount (PKR)])</f>
        <v>11946830</v>
      </c>
    </row>
    <row r="387" spans="1:12" ht="14.25" customHeight="1" x14ac:dyDescent="0.45">
      <c r="A387" t="s">
        <v>672</v>
      </c>
      <c r="B387" s="2" t="s">
        <v>422</v>
      </c>
      <c r="C387" t="s">
        <v>96</v>
      </c>
      <c r="D387" t="s">
        <v>398</v>
      </c>
      <c r="E387" t="s">
        <v>462</v>
      </c>
      <c r="F387" t="s">
        <v>131</v>
      </c>
      <c r="G387">
        <v>2</v>
      </c>
      <c r="H387" s="3">
        <v>2030</v>
      </c>
      <c r="I387" s="3">
        <v>4060</v>
      </c>
      <c r="J387" t="s">
        <v>76</v>
      </c>
      <c r="K387" t="s">
        <v>93</v>
      </c>
      <c r="L387" s="3">
        <f>SUM(SalesData3[Sales Amount (PKR)])</f>
        <v>11946830</v>
      </c>
    </row>
    <row r="388" spans="1:12" ht="14.25" customHeight="1" x14ac:dyDescent="0.45">
      <c r="A388" t="s">
        <v>673</v>
      </c>
      <c r="B388" s="2" t="s">
        <v>430</v>
      </c>
      <c r="C388" t="s">
        <v>89</v>
      </c>
      <c r="D388" t="s">
        <v>334</v>
      </c>
      <c r="E388" t="s">
        <v>402</v>
      </c>
      <c r="F388" t="s">
        <v>107</v>
      </c>
      <c r="G388">
        <v>1</v>
      </c>
      <c r="H388" s="3">
        <v>4050</v>
      </c>
      <c r="I388" s="3">
        <v>4050</v>
      </c>
      <c r="J388" t="s">
        <v>82</v>
      </c>
      <c r="K388" t="s">
        <v>93</v>
      </c>
      <c r="L388" s="3">
        <f>SUM(SalesData3[Sales Amount (PKR)])</f>
        <v>11946830</v>
      </c>
    </row>
    <row r="389" spans="1:12" ht="14.25" customHeight="1" x14ac:dyDescent="0.45">
      <c r="A389" t="s">
        <v>674</v>
      </c>
      <c r="B389" s="2" t="s">
        <v>585</v>
      </c>
      <c r="C389" t="s">
        <v>100</v>
      </c>
      <c r="D389" t="s">
        <v>334</v>
      </c>
      <c r="E389" t="s">
        <v>335</v>
      </c>
      <c r="F389" t="s">
        <v>117</v>
      </c>
      <c r="G389">
        <v>1</v>
      </c>
      <c r="H389" s="3">
        <v>3950</v>
      </c>
      <c r="I389" s="3">
        <v>3950</v>
      </c>
      <c r="J389" t="s">
        <v>82</v>
      </c>
      <c r="K389" t="s">
        <v>83</v>
      </c>
      <c r="L389" s="3">
        <f>SUM(SalesData3[Sales Amount (PKR)])</f>
        <v>11946830</v>
      </c>
    </row>
    <row r="390" spans="1:12" ht="14.25" customHeight="1" x14ac:dyDescent="0.45">
      <c r="A390" t="s">
        <v>675</v>
      </c>
      <c r="B390" s="2" t="s">
        <v>513</v>
      </c>
      <c r="C390" t="s">
        <v>80</v>
      </c>
      <c r="D390" t="s">
        <v>334</v>
      </c>
      <c r="E390" t="s">
        <v>527</v>
      </c>
      <c r="F390" t="s">
        <v>117</v>
      </c>
      <c r="G390">
        <v>2</v>
      </c>
      <c r="H390" s="3">
        <v>1970</v>
      </c>
      <c r="I390" s="3">
        <v>3940</v>
      </c>
      <c r="J390" t="s">
        <v>76</v>
      </c>
      <c r="K390" t="s">
        <v>77</v>
      </c>
      <c r="L390" s="3">
        <f>SUM(SalesData3[Sales Amount (PKR)])</f>
        <v>11946830</v>
      </c>
    </row>
    <row r="391" spans="1:12" ht="14.25" customHeight="1" x14ac:dyDescent="0.45">
      <c r="A391" t="s">
        <v>676</v>
      </c>
      <c r="B391" s="2" t="s">
        <v>139</v>
      </c>
      <c r="C391" t="s">
        <v>96</v>
      </c>
      <c r="D391" t="s">
        <v>334</v>
      </c>
      <c r="E391" t="s">
        <v>527</v>
      </c>
      <c r="F391" t="s">
        <v>123</v>
      </c>
      <c r="G391">
        <v>2</v>
      </c>
      <c r="H391" s="3">
        <v>1970</v>
      </c>
      <c r="I391" s="3">
        <v>3940</v>
      </c>
      <c r="J391" t="s">
        <v>82</v>
      </c>
      <c r="K391" t="s">
        <v>77</v>
      </c>
      <c r="L391" s="3">
        <f>SUM(SalesData3[Sales Amount (PKR)])</f>
        <v>11946830</v>
      </c>
    </row>
    <row r="392" spans="1:12" ht="14.25" customHeight="1" x14ac:dyDescent="0.45">
      <c r="A392" t="s">
        <v>677</v>
      </c>
      <c r="B392" s="2" t="s">
        <v>648</v>
      </c>
      <c r="C392" t="s">
        <v>89</v>
      </c>
      <c r="D392" t="s">
        <v>334</v>
      </c>
      <c r="E392" t="s">
        <v>335</v>
      </c>
      <c r="F392" t="s">
        <v>140</v>
      </c>
      <c r="G392">
        <v>1</v>
      </c>
      <c r="H392" s="3">
        <v>3940</v>
      </c>
      <c r="I392" s="3">
        <v>3940</v>
      </c>
      <c r="J392" t="s">
        <v>76</v>
      </c>
      <c r="K392" t="s">
        <v>93</v>
      </c>
      <c r="L392" s="3">
        <f>SUM(SalesData3[Sales Amount (PKR)])</f>
        <v>11946830</v>
      </c>
    </row>
    <row r="393" spans="1:12" ht="14.25" customHeight="1" x14ac:dyDescent="0.45">
      <c r="A393" t="s">
        <v>678</v>
      </c>
      <c r="B393" s="2" t="s">
        <v>562</v>
      </c>
      <c r="C393" t="s">
        <v>80</v>
      </c>
      <c r="D393" t="s">
        <v>334</v>
      </c>
      <c r="E393" t="s">
        <v>335</v>
      </c>
      <c r="F393" t="s">
        <v>140</v>
      </c>
      <c r="G393">
        <v>1</v>
      </c>
      <c r="H393" s="3">
        <v>3930</v>
      </c>
      <c r="I393" s="3">
        <v>3930</v>
      </c>
      <c r="J393" t="s">
        <v>82</v>
      </c>
      <c r="K393" t="s">
        <v>77</v>
      </c>
      <c r="L393" s="3">
        <f>SUM(SalesData3[Sales Amount (PKR)])</f>
        <v>11946830</v>
      </c>
    </row>
    <row r="394" spans="1:12" ht="14.25" customHeight="1" x14ac:dyDescent="0.45">
      <c r="A394" t="s">
        <v>679</v>
      </c>
      <c r="B394" s="2" t="s">
        <v>365</v>
      </c>
      <c r="C394" t="s">
        <v>100</v>
      </c>
      <c r="D394" t="s">
        <v>334</v>
      </c>
      <c r="E394" t="s">
        <v>335</v>
      </c>
      <c r="F394" t="s">
        <v>107</v>
      </c>
      <c r="G394">
        <v>1</v>
      </c>
      <c r="H394" s="3">
        <v>3930</v>
      </c>
      <c r="I394" s="3">
        <v>3930</v>
      </c>
      <c r="J394" t="s">
        <v>82</v>
      </c>
      <c r="K394" t="s">
        <v>83</v>
      </c>
      <c r="L394" s="3">
        <f>SUM(SalesData3[Sales Amount (PKR)])</f>
        <v>11946830</v>
      </c>
    </row>
    <row r="395" spans="1:12" ht="14.25" customHeight="1" x14ac:dyDescent="0.45">
      <c r="A395" t="s">
        <v>680</v>
      </c>
      <c r="B395" s="2" t="s">
        <v>453</v>
      </c>
      <c r="C395" t="s">
        <v>96</v>
      </c>
      <c r="D395" t="s">
        <v>334</v>
      </c>
      <c r="E395" t="s">
        <v>527</v>
      </c>
      <c r="F395" t="s">
        <v>86</v>
      </c>
      <c r="G395">
        <v>2</v>
      </c>
      <c r="H395" s="3">
        <v>1960</v>
      </c>
      <c r="I395" s="3">
        <v>3920</v>
      </c>
      <c r="J395" t="s">
        <v>76</v>
      </c>
      <c r="K395" t="s">
        <v>83</v>
      </c>
      <c r="L395" s="3">
        <f>SUM(SalesData3[Sales Amount (PKR)])</f>
        <v>11946830</v>
      </c>
    </row>
    <row r="396" spans="1:12" ht="14.25" customHeight="1" x14ac:dyDescent="0.45">
      <c r="A396" t="s">
        <v>681</v>
      </c>
      <c r="B396" s="2" t="s">
        <v>591</v>
      </c>
      <c r="C396" t="s">
        <v>89</v>
      </c>
      <c r="D396" t="s">
        <v>334</v>
      </c>
      <c r="E396" t="s">
        <v>527</v>
      </c>
      <c r="F396" t="s">
        <v>86</v>
      </c>
      <c r="G396">
        <v>2</v>
      </c>
      <c r="H396" s="3">
        <v>1960</v>
      </c>
      <c r="I396" s="3">
        <v>3920</v>
      </c>
      <c r="J396" t="s">
        <v>82</v>
      </c>
      <c r="K396" t="s">
        <v>83</v>
      </c>
      <c r="L396" s="3">
        <f>SUM(SalesData3[Sales Amount (PKR)])</f>
        <v>11946830</v>
      </c>
    </row>
    <row r="397" spans="1:12" ht="14.25" customHeight="1" x14ac:dyDescent="0.45">
      <c r="A397" t="s">
        <v>682</v>
      </c>
      <c r="B397" s="2" t="s">
        <v>522</v>
      </c>
      <c r="C397" t="s">
        <v>80</v>
      </c>
      <c r="D397" t="s">
        <v>334</v>
      </c>
      <c r="E397" t="s">
        <v>335</v>
      </c>
      <c r="F397" t="s">
        <v>140</v>
      </c>
      <c r="G397">
        <v>1</v>
      </c>
      <c r="H397" s="3">
        <v>3890</v>
      </c>
      <c r="I397" s="3">
        <v>3890</v>
      </c>
      <c r="J397" t="s">
        <v>82</v>
      </c>
      <c r="K397" t="s">
        <v>77</v>
      </c>
      <c r="L397" s="3">
        <f>SUM(SalesData3[Sales Amount (PKR)])</f>
        <v>11946830</v>
      </c>
    </row>
    <row r="398" spans="1:12" ht="14.25" customHeight="1" x14ac:dyDescent="0.45">
      <c r="A398" t="s">
        <v>683</v>
      </c>
      <c r="B398" s="2" t="s">
        <v>365</v>
      </c>
      <c r="C398" t="s">
        <v>100</v>
      </c>
      <c r="D398" t="s">
        <v>334</v>
      </c>
      <c r="E398" t="s">
        <v>335</v>
      </c>
      <c r="F398" t="s">
        <v>81</v>
      </c>
      <c r="G398">
        <v>1</v>
      </c>
      <c r="H398" s="3">
        <v>3890</v>
      </c>
      <c r="I398" s="3">
        <v>3890</v>
      </c>
      <c r="J398" t="s">
        <v>82</v>
      </c>
      <c r="K398" t="s">
        <v>83</v>
      </c>
      <c r="L398" s="3">
        <f>SUM(SalesData3[Sales Amount (PKR)])</f>
        <v>11946830</v>
      </c>
    </row>
    <row r="399" spans="1:12" ht="14.25" customHeight="1" x14ac:dyDescent="0.45">
      <c r="A399" t="s">
        <v>684</v>
      </c>
      <c r="B399" s="2" t="s">
        <v>422</v>
      </c>
      <c r="C399" t="s">
        <v>100</v>
      </c>
      <c r="D399" t="s">
        <v>334</v>
      </c>
      <c r="E399" t="s">
        <v>335</v>
      </c>
      <c r="F399" t="s">
        <v>123</v>
      </c>
      <c r="G399">
        <v>1</v>
      </c>
      <c r="H399" s="3">
        <v>3890</v>
      </c>
      <c r="I399" s="3">
        <v>3890</v>
      </c>
      <c r="J399" t="s">
        <v>76</v>
      </c>
      <c r="K399" t="s">
        <v>83</v>
      </c>
      <c r="L399" s="3">
        <f>SUM(SalesData3[Sales Amount (PKR)])</f>
        <v>11946830</v>
      </c>
    </row>
    <row r="400" spans="1:12" ht="14.25" customHeight="1" x14ac:dyDescent="0.45">
      <c r="A400" t="s">
        <v>685</v>
      </c>
      <c r="B400" s="2" t="s">
        <v>237</v>
      </c>
      <c r="C400" t="s">
        <v>89</v>
      </c>
      <c r="D400" t="s">
        <v>334</v>
      </c>
      <c r="E400" t="s">
        <v>335</v>
      </c>
      <c r="F400" t="s">
        <v>97</v>
      </c>
      <c r="G400">
        <v>1</v>
      </c>
      <c r="H400" s="3">
        <v>3860</v>
      </c>
      <c r="I400" s="3">
        <v>3860</v>
      </c>
      <c r="J400" t="s">
        <v>76</v>
      </c>
      <c r="K400" t="s">
        <v>93</v>
      </c>
      <c r="L400" s="3">
        <f>SUM(SalesData3[Sales Amount (PKR)])</f>
        <v>11946830</v>
      </c>
    </row>
    <row r="401" spans="1:12" ht="14.25" customHeight="1" x14ac:dyDescent="0.45">
      <c r="A401" t="s">
        <v>686</v>
      </c>
      <c r="B401" s="2" t="s">
        <v>218</v>
      </c>
      <c r="C401" t="s">
        <v>100</v>
      </c>
      <c r="D401" t="s">
        <v>334</v>
      </c>
      <c r="E401" t="s">
        <v>335</v>
      </c>
      <c r="F401" t="s">
        <v>97</v>
      </c>
      <c r="G401">
        <v>1</v>
      </c>
      <c r="H401" s="3">
        <v>3850</v>
      </c>
      <c r="I401" s="3">
        <v>3850</v>
      </c>
      <c r="J401" t="s">
        <v>82</v>
      </c>
      <c r="K401" t="s">
        <v>77</v>
      </c>
      <c r="L401" s="3">
        <f>SUM(SalesData3[Sales Amount (PKR)])</f>
        <v>11946830</v>
      </c>
    </row>
    <row r="402" spans="1:12" ht="14.25" customHeight="1" x14ac:dyDescent="0.45">
      <c r="A402" t="s">
        <v>687</v>
      </c>
      <c r="B402" s="2" t="s">
        <v>298</v>
      </c>
      <c r="C402" t="s">
        <v>96</v>
      </c>
      <c r="D402" t="s">
        <v>334</v>
      </c>
      <c r="E402" t="s">
        <v>335</v>
      </c>
      <c r="F402" t="s">
        <v>81</v>
      </c>
      <c r="G402">
        <v>1</v>
      </c>
      <c r="H402" s="3">
        <v>3840</v>
      </c>
      <c r="I402" s="3">
        <v>3840</v>
      </c>
      <c r="J402" t="s">
        <v>82</v>
      </c>
      <c r="K402" t="s">
        <v>93</v>
      </c>
      <c r="L402" s="3">
        <f>SUM(SalesData3[Sales Amount (PKR)])</f>
        <v>11946830</v>
      </c>
    </row>
    <row r="403" spans="1:12" ht="14.25" customHeight="1" x14ac:dyDescent="0.45">
      <c r="A403" t="s">
        <v>688</v>
      </c>
      <c r="B403" s="2" t="s">
        <v>127</v>
      </c>
      <c r="C403" t="s">
        <v>89</v>
      </c>
      <c r="D403" t="s">
        <v>334</v>
      </c>
      <c r="E403" t="s">
        <v>335</v>
      </c>
      <c r="F403" t="s">
        <v>97</v>
      </c>
      <c r="G403">
        <v>1</v>
      </c>
      <c r="H403" s="3">
        <v>3830</v>
      </c>
      <c r="I403" s="3">
        <v>3830</v>
      </c>
      <c r="J403" t="s">
        <v>76</v>
      </c>
      <c r="K403" t="s">
        <v>93</v>
      </c>
      <c r="L403" s="3">
        <f>SUM(SalesData3[Sales Amount (PKR)])</f>
        <v>11946830</v>
      </c>
    </row>
    <row r="404" spans="1:12" ht="14.25" customHeight="1" x14ac:dyDescent="0.45">
      <c r="A404" t="s">
        <v>689</v>
      </c>
      <c r="B404" s="2" t="s">
        <v>445</v>
      </c>
      <c r="C404" t="s">
        <v>72</v>
      </c>
      <c r="D404" t="s">
        <v>334</v>
      </c>
      <c r="E404" t="s">
        <v>335</v>
      </c>
      <c r="F404" t="s">
        <v>140</v>
      </c>
      <c r="G404">
        <v>1</v>
      </c>
      <c r="H404" s="3">
        <v>3820</v>
      </c>
      <c r="I404" s="3">
        <v>3820</v>
      </c>
      <c r="J404" t="s">
        <v>76</v>
      </c>
      <c r="K404" t="s">
        <v>83</v>
      </c>
      <c r="L404" s="3">
        <f>SUM(SalesData3[Sales Amount (PKR)])</f>
        <v>11946830</v>
      </c>
    </row>
    <row r="405" spans="1:12" ht="14.25" customHeight="1" x14ac:dyDescent="0.45">
      <c r="A405" t="s">
        <v>690</v>
      </c>
      <c r="B405" s="2" t="s">
        <v>127</v>
      </c>
      <c r="C405" t="s">
        <v>72</v>
      </c>
      <c r="D405" t="s">
        <v>472</v>
      </c>
      <c r="E405" t="s">
        <v>691</v>
      </c>
      <c r="F405" t="s">
        <v>140</v>
      </c>
      <c r="G405">
        <v>4</v>
      </c>
      <c r="H405" s="3">
        <v>950</v>
      </c>
      <c r="I405" s="3">
        <v>3800</v>
      </c>
      <c r="J405" t="s">
        <v>76</v>
      </c>
      <c r="K405" t="s">
        <v>83</v>
      </c>
      <c r="L405" s="3">
        <f>SUM(SalesData3[Sales Amount (PKR)])</f>
        <v>11946830</v>
      </c>
    </row>
    <row r="406" spans="1:12" ht="14.25" customHeight="1" x14ac:dyDescent="0.45">
      <c r="A406" t="s">
        <v>692</v>
      </c>
      <c r="B406" s="2" t="s">
        <v>693</v>
      </c>
      <c r="C406" t="s">
        <v>96</v>
      </c>
      <c r="D406" t="s">
        <v>472</v>
      </c>
      <c r="E406" t="s">
        <v>691</v>
      </c>
      <c r="F406" t="s">
        <v>140</v>
      </c>
      <c r="G406">
        <v>4</v>
      </c>
      <c r="H406" s="3">
        <v>950</v>
      </c>
      <c r="I406" s="3">
        <v>3800</v>
      </c>
      <c r="J406" t="s">
        <v>82</v>
      </c>
      <c r="K406" t="s">
        <v>83</v>
      </c>
      <c r="L406" s="3">
        <f>SUM(SalesData3[Sales Amount (PKR)])</f>
        <v>11946830</v>
      </c>
    </row>
    <row r="407" spans="1:12" ht="14.25" customHeight="1" x14ac:dyDescent="0.45">
      <c r="A407" t="s">
        <v>694</v>
      </c>
      <c r="B407" s="2" t="s">
        <v>695</v>
      </c>
      <c r="C407" t="s">
        <v>100</v>
      </c>
      <c r="D407" t="s">
        <v>334</v>
      </c>
      <c r="E407" t="s">
        <v>335</v>
      </c>
      <c r="F407" t="s">
        <v>97</v>
      </c>
      <c r="G407">
        <v>1</v>
      </c>
      <c r="H407" s="3">
        <v>3780</v>
      </c>
      <c r="I407" s="3">
        <v>3780</v>
      </c>
      <c r="J407" t="s">
        <v>82</v>
      </c>
      <c r="K407" t="s">
        <v>93</v>
      </c>
      <c r="L407" s="3">
        <f>SUM(SalesData3[Sales Amount (PKR)])</f>
        <v>11946830</v>
      </c>
    </row>
    <row r="408" spans="1:12" ht="14.25" customHeight="1" x14ac:dyDescent="0.45">
      <c r="A408" t="s">
        <v>696</v>
      </c>
      <c r="B408" s="2" t="s">
        <v>183</v>
      </c>
      <c r="C408" t="s">
        <v>96</v>
      </c>
      <c r="D408" t="s">
        <v>334</v>
      </c>
      <c r="E408" t="s">
        <v>335</v>
      </c>
      <c r="F408" t="s">
        <v>123</v>
      </c>
      <c r="G408">
        <v>1</v>
      </c>
      <c r="H408" s="3">
        <v>3780</v>
      </c>
      <c r="I408" s="3">
        <v>3780</v>
      </c>
      <c r="J408" t="s">
        <v>82</v>
      </c>
      <c r="K408" t="s">
        <v>93</v>
      </c>
      <c r="L408" s="3">
        <f>SUM(SalesData3[Sales Amount (PKR)])</f>
        <v>11946830</v>
      </c>
    </row>
    <row r="409" spans="1:12" ht="14.25" customHeight="1" x14ac:dyDescent="0.45">
      <c r="A409" t="s">
        <v>697</v>
      </c>
      <c r="B409" s="2" t="s">
        <v>289</v>
      </c>
      <c r="C409" t="s">
        <v>96</v>
      </c>
      <c r="D409" t="s">
        <v>334</v>
      </c>
      <c r="E409" t="s">
        <v>335</v>
      </c>
      <c r="F409" t="s">
        <v>117</v>
      </c>
      <c r="G409">
        <v>1</v>
      </c>
      <c r="H409" s="3">
        <v>3770</v>
      </c>
      <c r="I409" s="3">
        <v>3770</v>
      </c>
      <c r="J409" t="s">
        <v>76</v>
      </c>
      <c r="K409" t="s">
        <v>93</v>
      </c>
      <c r="L409" s="3">
        <f>SUM(SalesData3[Sales Amount (PKR)])</f>
        <v>11946830</v>
      </c>
    </row>
    <row r="410" spans="1:12" ht="14.25" customHeight="1" x14ac:dyDescent="0.45">
      <c r="A410" t="s">
        <v>698</v>
      </c>
      <c r="B410" s="2" t="s">
        <v>699</v>
      </c>
      <c r="C410" t="s">
        <v>96</v>
      </c>
      <c r="D410" t="s">
        <v>334</v>
      </c>
      <c r="E410" t="s">
        <v>335</v>
      </c>
      <c r="F410" t="s">
        <v>75</v>
      </c>
      <c r="G410">
        <v>1</v>
      </c>
      <c r="H410" s="3">
        <v>3770</v>
      </c>
      <c r="I410" s="3">
        <v>3770</v>
      </c>
      <c r="J410" t="s">
        <v>76</v>
      </c>
      <c r="K410" t="s">
        <v>83</v>
      </c>
      <c r="L410" s="3">
        <f>SUM(SalesData3[Sales Amount (PKR)])</f>
        <v>11946830</v>
      </c>
    </row>
    <row r="411" spans="1:12" ht="14.25" customHeight="1" x14ac:dyDescent="0.45">
      <c r="A411" t="s">
        <v>700</v>
      </c>
      <c r="B411" s="2" t="s">
        <v>365</v>
      </c>
      <c r="C411" t="s">
        <v>89</v>
      </c>
      <c r="D411" t="s">
        <v>334</v>
      </c>
      <c r="E411" t="s">
        <v>335</v>
      </c>
      <c r="F411" t="s">
        <v>81</v>
      </c>
      <c r="G411">
        <v>1</v>
      </c>
      <c r="H411" s="3">
        <v>3760</v>
      </c>
      <c r="I411" s="3">
        <v>3760</v>
      </c>
      <c r="J411" t="s">
        <v>76</v>
      </c>
      <c r="K411" t="s">
        <v>83</v>
      </c>
      <c r="L411" s="3">
        <f>SUM(SalesData3[Sales Amount (PKR)])</f>
        <v>11946830</v>
      </c>
    </row>
    <row r="412" spans="1:12" ht="14.25" customHeight="1" x14ac:dyDescent="0.45">
      <c r="A412" t="s">
        <v>701</v>
      </c>
      <c r="B412" s="2" t="s">
        <v>537</v>
      </c>
      <c r="C412" t="s">
        <v>96</v>
      </c>
      <c r="D412" t="s">
        <v>334</v>
      </c>
      <c r="E412" t="s">
        <v>335</v>
      </c>
      <c r="F412" t="s">
        <v>123</v>
      </c>
      <c r="G412">
        <v>1</v>
      </c>
      <c r="H412" s="3">
        <v>3740</v>
      </c>
      <c r="I412" s="3">
        <v>3740</v>
      </c>
      <c r="J412" t="s">
        <v>76</v>
      </c>
      <c r="K412" t="s">
        <v>93</v>
      </c>
      <c r="L412" s="3">
        <f>SUM(SalesData3[Sales Amount (PKR)])</f>
        <v>11946830</v>
      </c>
    </row>
    <row r="413" spans="1:12" ht="14.25" customHeight="1" x14ac:dyDescent="0.45">
      <c r="A413" t="s">
        <v>702</v>
      </c>
      <c r="B413" s="2" t="s">
        <v>385</v>
      </c>
      <c r="C413" t="s">
        <v>96</v>
      </c>
      <c r="D413" t="s">
        <v>334</v>
      </c>
      <c r="E413" t="s">
        <v>335</v>
      </c>
      <c r="F413" t="s">
        <v>81</v>
      </c>
      <c r="G413">
        <v>1</v>
      </c>
      <c r="H413" s="3">
        <v>3740</v>
      </c>
      <c r="I413" s="3">
        <v>3740</v>
      </c>
      <c r="J413" t="s">
        <v>76</v>
      </c>
      <c r="K413" t="s">
        <v>93</v>
      </c>
      <c r="L413" s="3">
        <f>SUM(SalesData3[Sales Amount (PKR)])</f>
        <v>11946830</v>
      </c>
    </row>
    <row r="414" spans="1:12" ht="14.25" customHeight="1" x14ac:dyDescent="0.45">
      <c r="A414" t="s">
        <v>703</v>
      </c>
      <c r="B414" s="2" t="s">
        <v>133</v>
      </c>
      <c r="C414" t="s">
        <v>96</v>
      </c>
      <c r="D414" t="s">
        <v>334</v>
      </c>
      <c r="E414" t="s">
        <v>335</v>
      </c>
      <c r="F414" t="s">
        <v>131</v>
      </c>
      <c r="G414">
        <v>1</v>
      </c>
      <c r="H414" s="3">
        <v>3740</v>
      </c>
      <c r="I414" s="3">
        <v>3740</v>
      </c>
      <c r="J414" t="s">
        <v>82</v>
      </c>
      <c r="K414" t="s">
        <v>77</v>
      </c>
      <c r="L414" s="3">
        <f>SUM(SalesData3[Sales Amount (PKR)])</f>
        <v>11946830</v>
      </c>
    </row>
    <row r="415" spans="1:12" ht="14.25" customHeight="1" x14ac:dyDescent="0.45">
      <c r="A415" t="s">
        <v>704</v>
      </c>
      <c r="B415" s="2" t="s">
        <v>106</v>
      </c>
      <c r="C415" t="s">
        <v>96</v>
      </c>
      <c r="D415" t="s">
        <v>334</v>
      </c>
      <c r="E415" t="s">
        <v>335</v>
      </c>
      <c r="F415" t="s">
        <v>81</v>
      </c>
      <c r="G415">
        <v>1</v>
      </c>
      <c r="H415" s="3">
        <v>3730</v>
      </c>
      <c r="I415" s="3">
        <v>3730</v>
      </c>
      <c r="J415" t="s">
        <v>76</v>
      </c>
      <c r="K415" t="s">
        <v>83</v>
      </c>
      <c r="L415" s="3">
        <f>SUM(SalesData3[Sales Amount (PKR)])</f>
        <v>11946830</v>
      </c>
    </row>
    <row r="416" spans="1:12" ht="14.25" customHeight="1" x14ac:dyDescent="0.45">
      <c r="A416" t="s">
        <v>705</v>
      </c>
      <c r="B416" s="2" t="s">
        <v>656</v>
      </c>
      <c r="C416" t="s">
        <v>72</v>
      </c>
      <c r="D416" t="s">
        <v>334</v>
      </c>
      <c r="E416" t="s">
        <v>335</v>
      </c>
      <c r="F416" t="s">
        <v>107</v>
      </c>
      <c r="G416">
        <v>1</v>
      </c>
      <c r="H416" s="3">
        <v>3720</v>
      </c>
      <c r="I416" s="3">
        <v>3720</v>
      </c>
      <c r="J416" t="s">
        <v>82</v>
      </c>
      <c r="K416" t="s">
        <v>93</v>
      </c>
      <c r="L416" s="3">
        <f>SUM(SalesData3[Sales Amount (PKR)])</f>
        <v>11946830</v>
      </c>
    </row>
    <row r="417" spans="1:12" ht="14.25" customHeight="1" x14ac:dyDescent="0.45">
      <c r="A417" t="s">
        <v>706</v>
      </c>
      <c r="B417" s="2" t="s">
        <v>309</v>
      </c>
      <c r="C417" t="s">
        <v>96</v>
      </c>
      <c r="D417" t="s">
        <v>398</v>
      </c>
      <c r="E417" t="s">
        <v>475</v>
      </c>
      <c r="F417" t="s">
        <v>86</v>
      </c>
      <c r="G417">
        <v>2</v>
      </c>
      <c r="H417" s="3">
        <v>1860</v>
      </c>
      <c r="I417" s="3">
        <v>3720</v>
      </c>
      <c r="J417" t="s">
        <v>76</v>
      </c>
      <c r="K417" t="s">
        <v>77</v>
      </c>
      <c r="L417" s="3">
        <f>SUM(SalesData3[Sales Amount (PKR)])</f>
        <v>11946830</v>
      </c>
    </row>
    <row r="418" spans="1:12" ht="14.25" customHeight="1" x14ac:dyDescent="0.45">
      <c r="A418" t="s">
        <v>707</v>
      </c>
      <c r="B418" s="2" t="s">
        <v>414</v>
      </c>
      <c r="C418" t="s">
        <v>89</v>
      </c>
      <c r="D418" t="s">
        <v>334</v>
      </c>
      <c r="E418" t="s">
        <v>527</v>
      </c>
      <c r="F418" t="s">
        <v>81</v>
      </c>
      <c r="G418">
        <v>2</v>
      </c>
      <c r="H418" s="3">
        <v>1860</v>
      </c>
      <c r="I418" s="3">
        <v>3720</v>
      </c>
      <c r="J418" t="s">
        <v>76</v>
      </c>
      <c r="K418" t="s">
        <v>83</v>
      </c>
      <c r="L418" s="3">
        <f>SUM(SalesData3[Sales Amount (PKR)])</f>
        <v>11946830</v>
      </c>
    </row>
    <row r="419" spans="1:12" ht="14.25" customHeight="1" x14ac:dyDescent="0.45">
      <c r="A419" t="s">
        <v>708</v>
      </c>
      <c r="B419" s="2" t="s">
        <v>281</v>
      </c>
      <c r="C419" t="s">
        <v>89</v>
      </c>
      <c r="D419" t="s">
        <v>398</v>
      </c>
      <c r="E419" t="s">
        <v>475</v>
      </c>
      <c r="F419" t="s">
        <v>97</v>
      </c>
      <c r="G419">
        <v>2</v>
      </c>
      <c r="H419" s="3">
        <v>1860</v>
      </c>
      <c r="I419" s="3">
        <v>3720</v>
      </c>
      <c r="J419" t="s">
        <v>76</v>
      </c>
      <c r="K419" t="s">
        <v>83</v>
      </c>
      <c r="L419" s="3">
        <f>SUM(SalesData3[Sales Amount (PKR)])</f>
        <v>11946830</v>
      </c>
    </row>
    <row r="420" spans="1:12" ht="14.25" customHeight="1" x14ac:dyDescent="0.45">
      <c r="A420" t="s">
        <v>709</v>
      </c>
      <c r="B420" s="2" t="s">
        <v>221</v>
      </c>
      <c r="C420" t="s">
        <v>100</v>
      </c>
      <c r="D420" t="s">
        <v>472</v>
      </c>
      <c r="E420" t="s">
        <v>691</v>
      </c>
      <c r="F420" t="s">
        <v>140</v>
      </c>
      <c r="G420">
        <v>4</v>
      </c>
      <c r="H420" s="3">
        <v>930</v>
      </c>
      <c r="I420" s="3">
        <v>3720</v>
      </c>
      <c r="J420" t="s">
        <v>76</v>
      </c>
      <c r="K420" t="s">
        <v>83</v>
      </c>
      <c r="L420" s="3">
        <f>SUM(SalesData3[Sales Amount (PKR)])</f>
        <v>11946830</v>
      </c>
    </row>
    <row r="421" spans="1:12" ht="14.25" customHeight="1" x14ac:dyDescent="0.45">
      <c r="A421" t="s">
        <v>710</v>
      </c>
      <c r="B421" s="2" t="s">
        <v>376</v>
      </c>
      <c r="C421" t="s">
        <v>89</v>
      </c>
      <c r="D421" t="s">
        <v>334</v>
      </c>
      <c r="E421" t="s">
        <v>527</v>
      </c>
      <c r="F421" t="s">
        <v>97</v>
      </c>
      <c r="G421">
        <v>2</v>
      </c>
      <c r="H421" s="3">
        <v>1850</v>
      </c>
      <c r="I421" s="3">
        <v>3700</v>
      </c>
      <c r="J421" t="s">
        <v>76</v>
      </c>
      <c r="K421" t="s">
        <v>93</v>
      </c>
      <c r="L421" s="3">
        <f>SUM(SalesData3[Sales Amount (PKR)])</f>
        <v>11946830</v>
      </c>
    </row>
    <row r="422" spans="1:12" ht="14.25" customHeight="1" x14ac:dyDescent="0.45">
      <c r="A422" t="s">
        <v>711</v>
      </c>
      <c r="B422" s="2" t="s">
        <v>173</v>
      </c>
      <c r="C422" t="s">
        <v>100</v>
      </c>
      <c r="D422" t="s">
        <v>334</v>
      </c>
      <c r="E422" t="s">
        <v>527</v>
      </c>
      <c r="F422" t="s">
        <v>117</v>
      </c>
      <c r="G422">
        <v>2</v>
      </c>
      <c r="H422" s="3">
        <v>1850</v>
      </c>
      <c r="I422" s="3">
        <v>3700</v>
      </c>
      <c r="J422" t="s">
        <v>76</v>
      </c>
      <c r="K422" t="s">
        <v>77</v>
      </c>
      <c r="L422" s="3">
        <f>SUM(SalesData3[Sales Amount (PKR)])</f>
        <v>11946830</v>
      </c>
    </row>
    <row r="423" spans="1:12" ht="14.25" customHeight="1" x14ac:dyDescent="0.45">
      <c r="A423" t="s">
        <v>712</v>
      </c>
      <c r="B423" s="2" t="s">
        <v>693</v>
      </c>
      <c r="C423" t="s">
        <v>80</v>
      </c>
      <c r="D423" t="s">
        <v>334</v>
      </c>
      <c r="E423" t="s">
        <v>335</v>
      </c>
      <c r="F423" t="s">
        <v>90</v>
      </c>
      <c r="G423">
        <v>1</v>
      </c>
      <c r="H423" s="3">
        <v>3680</v>
      </c>
      <c r="I423" s="3">
        <v>3680</v>
      </c>
      <c r="J423" t="s">
        <v>76</v>
      </c>
      <c r="K423" t="s">
        <v>93</v>
      </c>
      <c r="L423" s="3">
        <f>SUM(SalesData3[Sales Amount (PKR)])</f>
        <v>11946830</v>
      </c>
    </row>
    <row r="424" spans="1:12" ht="14.25" customHeight="1" x14ac:dyDescent="0.45">
      <c r="A424" t="s">
        <v>713</v>
      </c>
      <c r="B424" s="2" t="s">
        <v>249</v>
      </c>
      <c r="C424" t="s">
        <v>96</v>
      </c>
      <c r="D424" t="s">
        <v>334</v>
      </c>
      <c r="E424" t="s">
        <v>335</v>
      </c>
      <c r="F424" t="s">
        <v>131</v>
      </c>
      <c r="G424">
        <v>1</v>
      </c>
      <c r="H424" s="3">
        <v>3670</v>
      </c>
      <c r="I424" s="3">
        <v>3670</v>
      </c>
      <c r="J424" t="s">
        <v>82</v>
      </c>
      <c r="K424" t="s">
        <v>77</v>
      </c>
      <c r="L424" s="3">
        <f>SUM(SalesData3[Sales Amount (PKR)])</f>
        <v>11946830</v>
      </c>
    </row>
    <row r="425" spans="1:12" ht="14.25" customHeight="1" x14ac:dyDescent="0.45">
      <c r="A425" t="s">
        <v>714</v>
      </c>
      <c r="B425" s="2" t="s">
        <v>715</v>
      </c>
      <c r="C425" t="s">
        <v>89</v>
      </c>
      <c r="D425" t="s">
        <v>334</v>
      </c>
      <c r="E425" t="s">
        <v>527</v>
      </c>
      <c r="F425" t="s">
        <v>140</v>
      </c>
      <c r="G425">
        <v>2</v>
      </c>
      <c r="H425" s="3">
        <v>1830</v>
      </c>
      <c r="I425" s="3">
        <v>3660</v>
      </c>
      <c r="J425" t="s">
        <v>82</v>
      </c>
      <c r="K425" t="s">
        <v>83</v>
      </c>
      <c r="L425" s="3">
        <f>SUM(SalesData3[Sales Amount (PKR)])</f>
        <v>11946830</v>
      </c>
    </row>
    <row r="426" spans="1:12" ht="14.25" customHeight="1" x14ac:dyDescent="0.45">
      <c r="A426" t="s">
        <v>716</v>
      </c>
      <c r="B426" s="2" t="s">
        <v>381</v>
      </c>
      <c r="C426" t="s">
        <v>89</v>
      </c>
      <c r="D426" t="s">
        <v>334</v>
      </c>
      <c r="E426" t="s">
        <v>335</v>
      </c>
      <c r="F426" t="s">
        <v>97</v>
      </c>
      <c r="G426">
        <v>1</v>
      </c>
      <c r="H426" s="3">
        <v>3660</v>
      </c>
      <c r="I426" s="3">
        <v>3660</v>
      </c>
      <c r="J426" t="s">
        <v>76</v>
      </c>
      <c r="K426" t="s">
        <v>83</v>
      </c>
      <c r="L426" s="3">
        <f>SUM(SalesData3[Sales Amount (PKR)])</f>
        <v>11946830</v>
      </c>
    </row>
    <row r="427" spans="1:12" ht="14.25" customHeight="1" x14ac:dyDescent="0.45">
      <c r="A427" t="s">
        <v>717</v>
      </c>
      <c r="B427" s="2" t="s">
        <v>210</v>
      </c>
      <c r="C427" t="s">
        <v>72</v>
      </c>
      <c r="D427" t="s">
        <v>398</v>
      </c>
      <c r="E427" t="s">
        <v>475</v>
      </c>
      <c r="F427" t="s">
        <v>90</v>
      </c>
      <c r="G427">
        <v>2</v>
      </c>
      <c r="H427" s="3">
        <v>1830</v>
      </c>
      <c r="I427" s="3">
        <v>3660</v>
      </c>
      <c r="J427" t="s">
        <v>82</v>
      </c>
      <c r="K427" t="s">
        <v>77</v>
      </c>
      <c r="L427" s="3">
        <f>SUM(SalesData3[Sales Amount (PKR)])</f>
        <v>11946830</v>
      </c>
    </row>
    <row r="428" spans="1:12" ht="14.25" customHeight="1" x14ac:dyDescent="0.45">
      <c r="A428" t="s">
        <v>718</v>
      </c>
      <c r="B428" s="2" t="s">
        <v>251</v>
      </c>
      <c r="C428" t="s">
        <v>72</v>
      </c>
      <c r="D428" t="s">
        <v>398</v>
      </c>
      <c r="E428" t="s">
        <v>475</v>
      </c>
      <c r="F428" t="s">
        <v>97</v>
      </c>
      <c r="G428">
        <v>2</v>
      </c>
      <c r="H428" s="3">
        <v>1830</v>
      </c>
      <c r="I428" s="3">
        <v>3660</v>
      </c>
      <c r="J428" t="s">
        <v>76</v>
      </c>
      <c r="K428" t="s">
        <v>83</v>
      </c>
      <c r="L428" s="3">
        <f>SUM(SalesData3[Sales Amount (PKR)])</f>
        <v>11946830</v>
      </c>
    </row>
    <row r="429" spans="1:12" ht="14.25" customHeight="1" x14ac:dyDescent="0.45">
      <c r="A429" t="s">
        <v>719</v>
      </c>
      <c r="B429" s="2" t="s">
        <v>540</v>
      </c>
      <c r="C429" t="s">
        <v>80</v>
      </c>
      <c r="D429" t="s">
        <v>398</v>
      </c>
      <c r="E429" t="s">
        <v>475</v>
      </c>
      <c r="F429" t="s">
        <v>140</v>
      </c>
      <c r="G429">
        <v>2</v>
      </c>
      <c r="H429" s="3">
        <v>1820</v>
      </c>
      <c r="I429" s="3">
        <v>3640</v>
      </c>
      <c r="J429" t="s">
        <v>82</v>
      </c>
      <c r="K429" t="s">
        <v>83</v>
      </c>
      <c r="L429" s="3">
        <f>SUM(SalesData3[Sales Amount (PKR)])</f>
        <v>11946830</v>
      </c>
    </row>
    <row r="430" spans="1:12" ht="14.25" customHeight="1" x14ac:dyDescent="0.45">
      <c r="A430" t="s">
        <v>720</v>
      </c>
      <c r="B430" s="2" t="s">
        <v>354</v>
      </c>
      <c r="C430" t="s">
        <v>96</v>
      </c>
      <c r="D430" t="s">
        <v>73</v>
      </c>
      <c r="E430" t="s">
        <v>443</v>
      </c>
      <c r="F430" t="s">
        <v>81</v>
      </c>
      <c r="G430">
        <v>1</v>
      </c>
      <c r="H430" s="3">
        <v>3630</v>
      </c>
      <c r="I430" s="3">
        <v>3630</v>
      </c>
      <c r="J430" t="s">
        <v>76</v>
      </c>
      <c r="K430" t="s">
        <v>83</v>
      </c>
      <c r="L430" s="3">
        <f>SUM(SalesData3[Sales Amount (PKR)])</f>
        <v>11946830</v>
      </c>
    </row>
    <row r="431" spans="1:12" ht="14.25" customHeight="1" x14ac:dyDescent="0.45">
      <c r="A431" t="s">
        <v>721</v>
      </c>
      <c r="B431" s="2" t="s">
        <v>627</v>
      </c>
      <c r="C431" t="s">
        <v>80</v>
      </c>
      <c r="D431" t="s">
        <v>73</v>
      </c>
      <c r="E431" t="s">
        <v>443</v>
      </c>
      <c r="F431" t="s">
        <v>90</v>
      </c>
      <c r="G431">
        <v>1</v>
      </c>
      <c r="H431" s="3">
        <v>3590</v>
      </c>
      <c r="I431" s="3">
        <v>3590</v>
      </c>
      <c r="J431" t="s">
        <v>82</v>
      </c>
      <c r="K431" t="s">
        <v>83</v>
      </c>
      <c r="L431" s="3">
        <f>SUM(SalesData3[Sales Amount (PKR)])</f>
        <v>11946830</v>
      </c>
    </row>
    <row r="432" spans="1:12" ht="14.25" customHeight="1" x14ac:dyDescent="0.45">
      <c r="A432" t="s">
        <v>722</v>
      </c>
      <c r="B432" s="2" t="s">
        <v>416</v>
      </c>
      <c r="C432" t="s">
        <v>96</v>
      </c>
      <c r="D432" t="s">
        <v>73</v>
      </c>
      <c r="E432" t="s">
        <v>443</v>
      </c>
      <c r="F432" t="s">
        <v>117</v>
      </c>
      <c r="G432">
        <v>1</v>
      </c>
      <c r="H432" s="3">
        <v>3580</v>
      </c>
      <c r="I432" s="3">
        <v>3580</v>
      </c>
      <c r="J432" t="s">
        <v>82</v>
      </c>
      <c r="K432" t="s">
        <v>77</v>
      </c>
      <c r="L432" s="3">
        <f>SUM(SalesData3[Sales Amount (PKR)])</f>
        <v>11946830</v>
      </c>
    </row>
    <row r="433" spans="1:12" ht="14.25" customHeight="1" x14ac:dyDescent="0.45">
      <c r="A433" t="s">
        <v>723</v>
      </c>
      <c r="B433" s="2" t="s">
        <v>99</v>
      </c>
      <c r="C433" t="s">
        <v>96</v>
      </c>
      <c r="D433" t="s">
        <v>472</v>
      </c>
      <c r="E433" t="s">
        <v>557</v>
      </c>
      <c r="F433" t="s">
        <v>81</v>
      </c>
      <c r="G433">
        <v>3</v>
      </c>
      <c r="H433" s="3">
        <v>1190</v>
      </c>
      <c r="I433" s="3">
        <v>3570</v>
      </c>
      <c r="J433" t="s">
        <v>82</v>
      </c>
      <c r="K433" t="s">
        <v>83</v>
      </c>
      <c r="L433" s="3">
        <f>SUM(SalesData3[Sales Amount (PKR)])</f>
        <v>11946830</v>
      </c>
    </row>
    <row r="434" spans="1:12" ht="14.25" customHeight="1" x14ac:dyDescent="0.45">
      <c r="A434" t="s">
        <v>724</v>
      </c>
      <c r="B434" s="2" t="s">
        <v>391</v>
      </c>
      <c r="C434" t="s">
        <v>89</v>
      </c>
      <c r="D434" t="s">
        <v>73</v>
      </c>
      <c r="E434" t="s">
        <v>443</v>
      </c>
      <c r="F434" t="s">
        <v>107</v>
      </c>
      <c r="G434">
        <v>1</v>
      </c>
      <c r="H434" s="3">
        <v>3570</v>
      </c>
      <c r="I434" s="3">
        <v>3570</v>
      </c>
      <c r="J434" t="s">
        <v>82</v>
      </c>
      <c r="K434" t="s">
        <v>93</v>
      </c>
      <c r="L434" s="3">
        <f>SUM(SalesData3[Sales Amount (PKR)])</f>
        <v>11946830</v>
      </c>
    </row>
    <row r="435" spans="1:12" ht="14.25" customHeight="1" x14ac:dyDescent="0.45">
      <c r="A435" t="s">
        <v>725</v>
      </c>
      <c r="B435" s="2" t="s">
        <v>85</v>
      </c>
      <c r="C435" t="s">
        <v>100</v>
      </c>
      <c r="D435" t="s">
        <v>472</v>
      </c>
      <c r="E435" t="s">
        <v>557</v>
      </c>
      <c r="F435" t="s">
        <v>107</v>
      </c>
      <c r="G435">
        <v>3</v>
      </c>
      <c r="H435" s="3">
        <v>1190</v>
      </c>
      <c r="I435" s="3">
        <v>3570</v>
      </c>
      <c r="J435" t="s">
        <v>76</v>
      </c>
      <c r="K435" t="s">
        <v>83</v>
      </c>
      <c r="L435" s="3">
        <f>SUM(SalesData3[Sales Amount (PKR)])</f>
        <v>11946830</v>
      </c>
    </row>
    <row r="436" spans="1:12" ht="14.25" customHeight="1" x14ac:dyDescent="0.45">
      <c r="A436" t="s">
        <v>726</v>
      </c>
      <c r="B436" s="2" t="s">
        <v>281</v>
      </c>
      <c r="C436" t="s">
        <v>100</v>
      </c>
      <c r="D436" t="s">
        <v>73</v>
      </c>
      <c r="E436" t="s">
        <v>443</v>
      </c>
      <c r="F436" t="s">
        <v>123</v>
      </c>
      <c r="G436">
        <v>1</v>
      </c>
      <c r="H436" s="3">
        <v>3540</v>
      </c>
      <c r="I436" s="3">
        <v>3540</v>
      </c>
      <c r="J436" t="s">
        <v>82</v>
      </c>
      <c r="K436" t="s">
        <v>83</v>
      </c>
      <c r="L436" s="3">
        <f>SUM(SalesData3[Sales Amount (PKR)])</f>
        <v>11946830</v>
      </c>
    </row>
    <row r="437" spans="1:12" ht="14.25" customHeight="1" x14ac:dyDescent="0.45">
      <c r="A437" t="s">
        <v>727</v>
      </c>
      <c r="B437" s="2" t="s">
        <v>588</v>
      </c>
      <c r="C437" t="s">
        <v>100</v>
      </c>
      <c r="D437" t="s">
        <v>73</v>
      </c>
      <c r="E437" t="s">
        <v>443</v>
      </c>
      <c r="F437" t="s">
        <v>81</v>
      </c>
      <c r="G437">
        <v>1</v>
      </c>
      <c r="H437" s="3">
        <v>3540</v>
      </c>
      <c r="I437" s="3">
        <v>3540</v>
      </c>
      <c r="J437" t="s">
        <v>82</v>
      </c>
      <c r="K437" t="s">
        <v>93</v>
      </c>
      <c r="L437" s="3">
        <f>SUM(SalesData3[Sales Amount (PKR)])</f>
        <v>11946830</v>
      </c>
    </row>
    <row r="438" spans="1:12" ht="14.25" customHeight="1" x14ac:dyDescent="0.45">
      <c r="A438" t="s">
        <v>728</v>
      </c>
      <c r="B438" s="2" t="s">
        <v>595</v>
      </c>
      <c r="C438" t="s">
        <v>72</v>
      </c>
      <c r="D438" t="s">
        <v>73</v>
      </c>
      <c r="E438" t="s">
        <v>443</v>
      </c>
      <c r="F438" t="s">
        <v>117</v>
      </c>
      <c r="G438">
        <v>1</v>
      </c>
      <c r="H438" s="3">
        <v>3540</v>
      </c>
      <c r="I438" s="3">
        <v>3540</v>
      </c>
      <c r="J438" t="s">
        <v>76</v>
      </c>
      <c r="K438" t="s">
        <v>83</v>
      </c>
      <c r="L438" s="3">
        <f>SUM(SalesData3[Sales Amount (PKR)])</f>
        <v>11946830</v>
      </c>
    </row>
    <row r="439" spans="1:12" ht="14.25" customHeight="1" x14ac:dyDescent="0.45">
      <c r="A439" t="s">
        <v>729</v>
      </c>
      <c r="B439" s="2" t="s">
        <v>261</v>
      </c>
      <c r="C439" t="s">
        <v>89</v>
      </c>
      <c r="D439" t="s">
        <v>398</v>
      </c>
      <c r="E439" t="s">
        <v>475</v>
      </c>
      <c r="F439" t="s">
        <v>81</v>
      </c>
      <c r="G439">
        <v>2</v>
      </c>
      <c r="H439" s="3">
        <v>1770</v>
      </c>
      <c r="I439" s="3">
        <v>3540</v>
      </c>
      <c r="J439" t="s">
        <v>82</v>
      </c>
      <c r="K439" t="s">
        <v>93</v>
      </c>
      <c r="L439" s="3">
        <f>SUM(SalesData3[Sales Amount (PKR)])</f>
        <v>11946830</v>
      </c>
    </row>
    <row r="440" spans="1:12" ht="14.25" customHeight="1" x14ac:dyDescent="0.45">
      <c r="A440" t="s">
        <v>730</v>
      </c>
      <c r="B440" s="2" t="s">
        <v>210</v>
      </c>
      <c r="C440" t="s">
        <v>89</v>
      </c>
      <c r="D440" t="s">
        <v>73</v>
      </c>
      <c r="E440" t="s">
        <v>443</v>
      </c>
      <c r="F440" t="s">
        <v>140</v>
      </c>
      <c r="G440">
        <v>1</v>
      </c>
      <c r="H440" s="3">
        <v>3530</v>
      </c>
      <c r="I440" s="3">
        <v>3530</v>
      </c>
      <c r="J440" t="s">
        <v>82</v>
      </c>
      <c r="K440" t="s">
        <v>77</v>
      </c>
      <c r="L440" s="3">
        <f>SUM(SalesData3[Sales Amount (PKR)])</f>
        <v>11946830</v>
      </c>
    </row>
    <row r="441" spans="1:12" ht="14.25" customHeight="1" x14ac:dyDescent="0.45">
      <c r="A441" t="s">
        <v>731</v>
      </c>
      <c r="B441" s="2" t="s">
        <v>258</v>
      </c>
      <c r="C441" t="s">
        <v>80</v>
      </c>
      <c r="D441" t="s">
        <v>73</v>
      </c>
      <c r="E441" t="s">
        <v>443</v>
      </c>
      <c r="F441" t="s">
        <v>81</v>
      </c>
      <c r="G441">
        <v>1</v>
      </c>
      <c r="H441" s="3">
        <v>3510</v>
      </c>
      <c r="I441" s="3">
        <v>3510</v>
      </c>
      <c r="J441" t="s">
        <v>76</v>
      </c>
      <c r="K441" t="s">
        <v>83</v>
      </c>
      <c r="L441" s="3">
        <f>SUM(SalesData3[Sales Amount (PKR)])</f>
        <v>11946830</v>
      </c>
    </row>
    <row r="442" spans="1:12" ht="14.25" customHeight="1" x14ac:dyDescent="0.45">
      <c r="A442" t="s">
        <v>732</v>
      </c>
      <c r="B442" s="2" t="s">
        <v>216</v>
      </c>
      <c r="C442" t="s">
        <v>96</v>
      </c>
      <c r="D442" t="s">
        <v>73</v>
      </c>
      <c r="E442" t="s">
        <v>443</v>
      </c>
      <c r="F442" t="s">
        <v>107</v>
      </c>
      <c r="G442">
        <v>1</v>
      </c>
      <c r="H442" s="3">
        <v>3500</v>
      </c>
      <c r="I442" s="3">
        <v>3500</v>
      </c>
      <c r="J442" t="s">
        <v>82</v>
      </c>
      <c r="K442" t="s">
        <v>83</v>
      </c>
      <c r="L442" s="3">
        <f>SUM(SalesData3[Sales Amount (PKR)])</f>
        <v>11946830</v>
      </c>
    </row>
    <row r="443" spans="1:12" ht="14.25" customHeight="1" x14ac:dyDescent="0.45">
      <c r="A443" t="s">
        <v>733</v>
      </c>
      <c r="B443" s="2" t="s">
        <v>436</v>
      </c>
      <c r="C443" t="s">
        <v>100</v>
      </c>
      <c r="D443" t="s">
        <v>73</v>
      </c>
      <c r="E443" t="s">
        <v>443</v>
      </c>
      <c r="F443" t="s">
        <v>81</v>
      </c>
      <c r="G443">
        <v>1</v>
      </c>
      <c r="H443" s="3">
        <v>3500</v>
      </c>
      <c r="I443" s="3">
        <v>3500</v>
      </c>
      <c r="J443" t="s">
        <v>76</v>
      </c>
      <c r="K443" t="s">
        <v>93</v>
      </c>
      <c r="L443" s="3">
        <f>SUM(SalesData3[Sales Amount (PKR)])</f>
        <v>11946830</v>
      </c>
    </row>
    <row r="444" spans="1:12" ht="14.25" customHeight="1" x14ac:dyDescent="0.45">
      <c r="A444" t="s">
        <v>734</v>
      </c>
      <c r="B444" s="2" t="s">
        <v>244</v>
      </c>
      <c r="C444" t="s">
        <v>72</v>
      </c>
      <c r="D444" t="s">
        <v>73</v>
      </c>
      <c r="E444" t="s">
        <v>443</v>
      </c>
      <c r="F444" t="s">
        <v>97</v>
      </c>
      <c r="G444">
        <v>1</v>
      </c>
      <c r="H444" s="3">
        <v>3490</v>
      </c>
      <c r="I444" s="3">
        <v>3490</v>
      </c>
      <c r="J444" t="s">
        <v>76</v>
      </c>
      <c r="K444" t="s">
        <v>83</v>
      </c>
      <c r="L444" s="3">
        <f>SUM(SalesData3[Sales Amount (PKR)])</f>
        <v>11946830</v>
      </c>
    </row>
    <row r="445" spans="1:12" ht="14.25" customHeight="1" x14ac:dyDescent="0.45">
      <c r="A445" t="s">
        <v>735</v>
      </c>
      <c r="B445" s="2" t="s">
        <v>617</v>
      </c>
      <c r="C445" t="s">
        <v>96</v>
      </c>
      <c r="D445" t="s">
        <v>73</v>
      </c>
      <c r="E445" t="s">
        <v>443</v>
      </c>
      <c r="F445" t="s">
        <v>117</v>
      </c>
      <c r="G445">
        <v>1</v>
      </c>
      <c r="H445" s="3">
        <v>3490</v>
      </c>
      <c r="I445" s="3">
        <v>3490</v>
      </c>
      <c r="J445" t="s">
        <v>76</v>
      </c>
      <c r="K445" t="s">
        <v>77</v>
      </c>
      <c r="L445" s="3">
        <f>SUM(SalesData3[Sales Amount (PKR)])</f>
        <v>11946830</v>
      </c>
    </row>
    <row r="446" spans="1:12" ht="14.25" customHeight="1" x14ac:dyDescent="0.45">
      <c r="A446" t="s">
        <v>736</v>
      </c>
      <c r="B446" s="2" t="s">
        <v>537</v>
      </c>
      <c r="C446" t="s">
        <v>80</v>
      </c>
      <c r="D446" t="s">
        <v>398</v>
      </c>
      <c r="E446" t="s">
        <v>475</v>
      </c>
      <c r="F446" t="s">
        <v>131</v>
      </c>
      <c r="G446">
        <v>2</v>
      </c>
      <c r="H446" s="3">
        <v>1740</v>
      </c>
      <c r="I446" s="3">
        <v>3480</v>
      </c>
      <c r="J446" t="s">
        <v>76</v>
      </c>
      <c r="K446" t="s">
        <v>83</v>
      </c>
      <c r="L446" s="3">
        <f>SUM(SalesData3[Sales Amount (PKR)])</f>
        <v>11946830</v>
      </c>
    </row>
    <row r="447" spans="1:12" ht="14.25" customHeight="1" x14ac:dyDescent="0.45">
      <c r="A447" t="s">
        <v>737</v>
      </c>
      <c r="B447" s="2" t="s">
        <v>345</v>
      </c>
      <c r="C447" t="s">
        <v>89</v>
      </c>
      <c r="D447" t="s">
        <v>73</v>
      </c>
      <c r="E447" t="s">
        <v>443</v>
      </c>
      <c r="F447" t="s">
        <v>140</v>
      </c>
      <c r="G447">
        <v>1</v>
      </c>
      <c r="H447" s="3">
        <v>3470</v>
      </c>
      <c r="I447" s="3">
        <v>3470</v>
      </c>
      <c r="J447" t="s">
        <v>76</v>
      </c>
      <c r="K447" t="s">
        <v>83</v>
      </c>
      <c r="L447" s="3">
        <f>SUM(SalesData3[Sales Amount (PKR)])</f>
        <v>11946830</v>
      </c>
    </row>
    <row r="448" spans="1:12" ht="14.25" customHeight="1" x14ac:dyDescent="0.45">
      <c r="A448" t="s">
        <v>738</v>
      </c>
      <c r="B448" s="2" t="s">
        <v>571</v>
      </c>
      <c r="C448" t="s">
        <v>96</v>
      </c>
      <c r="D448" t="s">
        <v>73</v>
      </c>
      <c r="E448" t="s">
        <v>443</v>
      </c>
      <c r="F448" t="s">
        <v>97</v>
      </c>
      <c r="G448">
        <v>1</v>
      </c>
      <c r="H448" s="3">
        <v>3470</v>
      </c>
      <c r="I448" s="3">
        <v>3470</v>
      </c>
      <c r="J448" t="s">
        <v>76</v>
      </c>
      <c r="K448" t="s">
        <v>77</v>
      </c>
      <c r="L448" s="3">
        <f>SUM(SalesData3[Sales Amount (PKR)])</f>
        <v>11946830</v>
      </c>
    </row>
    <row r="449" spans="1:12" ht="14.25" customHeight="1" x14ac:dyDescent="0.45">
      <c r="A449" t="s">
        <v>739</v>
      </c>
      <c r="B449" s="2" t="s">
        <v>139</v>
      </c>
      <c r="C449" t="s">
        <v>80</v>
      </c>
      <c r="D449" t="s">
        <v>73</v>
      </c>
      <c r="E449" t="s">
        <v>443</v>
      </c>
      <c r="F449" t="s">
        <v>90</v>
      </c>
      <c r="G449">
        <v>1</v>
      </c>
      <c r="H449" s="3">
        <v>3440</v>
      </c>
      <c r="I449" s="3">
        <v>3440</v>
      </c>
      <c r="J449" t="s">
        <v>82</v>
      </c>
      <c r="K449" t="s">
        <v>83</v>
      </c>
      <c r="L449" s="3">
        <f>SUM(SalesData3[Sales Amount (PKR)])</f>
        <v>11946830</v>
      </c>
    </row>
    <row r="450" spans="1:12" ht="14.25" customHeight="1" x14ac:dyDescent="0.45">
      <c r="A450" t="s">
        <v>740</v>
      </c>
      <c r="B450" s="2" t="s">
        <v>158</v>
      </c>
      <c r="C450" t="s">
        <v>96</v>
      </c>
      <c r="D450" t="s">
        <v>73</v>
      </c>
      <c r="E450" t="s">
        <v>443</v>
      </c>
      <c r="F450" t="s">
        <v>131</v>
      </c>
      <c r="G450">
        <v>1</v>
      </c>
      <c r="H450" s="3">
        <v>3420</v>
      </c>
      <c r="I450" s="3">
        <v>3420</v>
      </c>
      <c r="J450" t="s">
        <v>76</v>
      </c>
      <c r="K450" t="s">
        <v>83</v>
      </c>
      <c r="L450" s="3">
        <f>SUM(SalesData3[Sales Amount (PKR)])</f>
        <v>11946830</v>
      </c>
    </row>
    <row r="451" spans="1:12" ht="14.25" customHeight="1" x14ac:dyDescent="0.45">
      <c r="A451" t="s">
        <v>741</v>
      </c>
      <c r="B451" s="2" t="s">
        <v>225</v>
      </c>
      <c r="C451" t="s">
        <v>72</v>
      </c>
      <c r="D451" t="s">
        <v>73</v>
      </c>
      <c r="E451" t="s">
        <v>443</v>
      </c>
      <c r="F451" t="s">
        <v>117</v>
      </c>
      <c r="G451">
        <v>1</v>
      </c>
      <c r="H451" s="3">
        <v>3390</v>
      </c>
      <c r="I451" s="3">
        <v>3390</v>
      </c>
      <c r="J451" t="s">
        <v>82</v>
      </c>
      <c r="K451" t="s">
        <v>83</v>
      </c>
      <c r="L451" s="3">
        <f>SUM(SalesData3[Sales Amount (PKR)])</f>
        <v>11946830</v>
      </c>
    </row>
    <row r="452" spans="1:12" ht="14.25" customHeight="1" x14ac:dyDescent="0.45">
      <c r="A452" t="s">
        <v>742</v>
      </c>
      <c r="B452" s="2" t="s">
        <v>414</v>
      </c>
      <c r="C452" t="s">
        <v>96</v>
      </c>
      <c r="D452" t="s">
        <v>398</v>
      </c>
      <c r="E452" t="s">
        <v>399</v>
      </c>
      <c r="F452" t="s">
        <v>131</v>
      </c>
      <c r="G452">
        <v>1</v>
      </c>
      <c r="H452" s="3">
        <v>3310</v>
      </c>
      <c r="I452" s="3">
        <v>3310</v>
      </c>
      <c r="J452" t="s">
        <v>82</v>
      </c>
      <c r="K452" t="s">
        <v>83</v>
      </c>
      <c r="L452" s="3">
        <f>SUM(SalesData3[Sales Amount (PKR)])</f>
        <v>11946830</v>
      </c>
    </row>
    <row r="453" spans="1:12" ht="14.25" customHeight="1" x14ac:dyDescent="0.45">
      <c r="A453" t="s">
        <v>743</v>
      </c>
      <c r="B453" s="2" t="s">
        <v>158</v>
      </c>
      <c r="C453" t="s">
        <v>89</v>
      </c>
      <c r="D453" t="s">
        <v>472</v>
      </c>
      <c r="E453" t="s">
        <v>500</v>
      </c>
      <c r="F453" t="s">
        <v>117</v>
      </c>
      <c r="G453">
        <v>2</v>
      </c>
      <c r="H453" s="3">
        <v>1650</v>
      </c>
      <c r="I453" s="3">
        <v>3300</v>
      </c>
      <c r="J453" t="s">
        <v>76</v>
      </c>
      <c r="K453" t="s">
        <v>77</v>
      </c>
      <c r="L453" s="3">
        <f>SUM(SalesData3[Sales Amount (PKR)])</f>
        <v>11946830</v>
      </c>
    </row>
    <row r="454" spans="1:12" ht="14.25" customHeight="1" x14ac:dyDescent="0.45">
      <c r="A454" t="s">
        <v>744</v>
      </c>
      <c r="B454" s="2" t="s">
        <v>627</v>
      </c>
      <c r="C454" t="s">
        <v>89</v>
      </c>
      <c r="D454" t="s">
        <v>398</v>
      </c>
      <c r="E454" t="s">
        <v>399</v>
      </c>
      <c r="F454" t="s">
        <v>123</v>
      </c>
      <c r="G454">
        <v>1</v>
      </c>
      <c r="H454" s="3">
        <v>3290</v>
      </c>
      <c r="I454" s="3">
        <v>3290</v>
      </c>
      <c r="J454" t="s">
        <v>76</v>
      </c>
      <c r="K454" t="s">
        <v>77</v>
      </c>
      <c r="L454" s="3">
        <f>SUM(SalesData3[Sales Amount (PKR)])</f>
        <v>11946830</v>
      </c>
    </row>
    <row r="455" spans="1:12" ht="14.25" customHeight="1" x14ac:dyDescent="0.45">
      <c r="A455" t="s">
        <v>745</v>
      </c>
      <c r="B455" s="2" t="s">
        <v>173</v>
      </c>
      <c r="C455" t="s">
        <v>96</v>
      </c>
      <c r="D455" t="s">
        <v>398</v>
      </c>
      <c r="E455" t="s">
        <v>399</v>
      </c>
      <c r="F455" t="s">
        <v>117</v>
      </c>
      <c r="G455">
        <v>1</v>
      </c>
      <c r="H455" s="3">
        <v>3290</v>
      </c>
      <c r="I455" s="3">
        <v>3290</v>
      </c>
      <c r="J455" t="s">
        <v>76</v>
      </c>
      <c r="K455" t="s">
        <v>93</v>
      </c>
      <c r="L455" s="3">
        <f>SUM(SalesData3[Sales Amount (PKR)])</f>
        <v>11946830</v>
      </c>
    </row>
    <row r="456" spans="1:12" ht="14.25" customHeight="1" x14ac:dyDescent="0.45">
      <c r="A456" t="s">
        <v>746</v>
      </c>
      <c r="B456" s="2" t="s">
        <v>407</v>
      </c>
      <c r="C456" t="s">
        <v>100</v>
      </c>
      <c r="D456" t="s">
        <v>472</v>
      </c>
      <c r="E456" t="s">
        <v>500</v>
      </c>
      <c r="F456" t="s">
        <v>117</v>
      </c>
      <c r="G456">
        <v>2</v>
      </c>
      <c r="H456" s="3">
        <v>1640</v>
      </c>
      <c r="I456" s="3">
        <v>3280</v>
      </c>
      <c r="J456" t="s">
        <v>82</v>
      </c>
      <c r="K456" t="s">
        <v>83</v>
      </c>
      <c r="L456" s="3">
        <f>SUM(SalesData3[Sales Amount (PKR)])</f>
        <v>11946830</v>
      </c>
    </row>
    <row r="457" spans="1:12" ht="14.25" customHeight="1" x14ac:dyDescent="0.45">
      <c r="A457" t="s">
        <v>747</v>
      </c>
      <c r="B457" s="2" t="s">
        <v>127</v>
      </c>
      <c r="C457" t="s">
        <v>89</v>
      </c>
      <c r="D457" t="s">
        <v>398</v>
      </c>
      <c r="E457" t="s">
        <v>399</v>
      </c>
      <c r="F457" t="s">
        <v>117</v>
      </c>
      <c r="G457">
        <v>1</v>
      </c>
      <c r="H457" s="3">
        <v>3280</v>
      </c>
      <c r="I457" s="3">
        <v>3280</v>
      </c>
      <c r="J457" t="s">
        <v>82</v>
      </c>
      <c r="K457" t="s">
        <v>77</v>
      </c>
      <c r="L457" s="3">
        <f>SUM(SalesData3[Sales Amount (PKR)])</f>
        <v>11946830</v>
      </c>
    </row>
    <row r="458" spans="1:12" ht="14.25" customHeight="1" x14ac:dyDescent="0.45">
      <c r="A458" t="s">
        <v>748</v>
      </c>
      <c r="B458" s="2" t="s">
        <v>95</v>
      </c>
      <c r="C458" t="s">
        <v>96</v>
      </c>
      <c r="D458" t="s">
        <v>472</v>
      </c>
      <c r="E458" t="s">
        <v>500</v>
      </c>
      <c r="F458" t="s">
        <v>75</v>
      </c>
      <c r="G458">
        <v>2</v>
      </c>
      <c r="H458" s="3">
        <v>1640</v>
      </c>
      <c r="I458" s="3">
        <v>3280</v>
      </c>
      <c r="J458" t="s">
        <v>82</v>
      </c>
      <c r="K458" t="s">
        <v>83</v>
      </c>
      <c r="L458" s="3">
        <f>SUM(SalesData3[Sales Amount (PKR)])</f>
        <v>11946830</v>
      </c>
    </row>
    <row r="459" spans="1:12" ht="14.25" customHeight="1" x14ac:dyDescent="0.45">
      <c r="A459" t="s">
        <v>749</v>
      </c>
      <c r="B459" s="2" t="s">
        <v>562</v>
      </c>
      <c r="C459" t="s">
        <v>80</v>
      </c>
      <c r="D459" t="s">
        <v>472</v>
      </c>
      <c r="E459" t="s">
        <v>500</v>
      </c>
      <c r="F459" t="s">
        <v>81</v>
      </c>
      <c r="G459">
        <v>2</v>
      </c>
      <c r="H459" s="3">
        <v>1640</v>
      </c>
      <c r="I459" s="3">
        <v>3280</v>
      </c>
      <c r="J459" t="s">
        <v>76</v>
      </c>
      <c r="K459" t="s">
        <v>93</v>
      </c>
      <c r="L459" s="3">
        <f>SUM(SalesData3[Sales Amount (PKR)])</f>
        <v>11946830</v>
      </c>
    </row>
    <row r="460" spans="1:12" ht="14.25" customHeight="1" x14ac:dyDescent="0.45">
      <c r="A460" t="s">
        <v>750</v>
      </c>
      <c r="B460" s="2" t="s">
        <v>234</v>
      </c>
      <c r="C460" t="s">
        <v>80</v>
      </c>
      <c r="D460" t="s">
        <v>398</v>
      </c>
      <c r="E460" t="s">
        <v>399</v>
      </c>
      <c r="F460" t="s">
        <v>140</v>
      </c>
      <c r="G460">
        <v>1</v>
      </c>
      <c r="H460" s="3">
        <v>3270</v>
      </c>
      <c r="I460" s="3">
        <v>3270</v>
      </c>
      <c r="J460" t="s">
        <v>82</v>
      </c>
      <c r="K460" t="s">
        <v>93</v>
      </c>
      <c r="L460" s="3">
        <f>SUM(SalesData3[Sales Amount (PKR)])</f>
        <v>11946830</v>
      </c>
    </row>
    <row r="461" spans="1:12" ht="14.25" customHeight="1" x14ac:dyDescent="0.45">
      <c r="A461" t="s">
        <v>751</v>
      </c>
      <c r="B461" s="2" t="s">
        <v>591</v>
      </c>
      <c r="C461" t="s">
        <v>89</v>
      </c>
      <c r="D461" t="s">
        <v>398</v>
      </c>
      <c r="E461" t="s">
        <v>399</v>
      </c>
      <c r="F461" t="s">
        <v>117</v>
      </c>
      <c r="G461">
        <v>1</v>
      </c>
      <c r="H461" s="3">
        <v>3250</v>
      </c>
      <c r="I461" s="3">
        <v>3250</v>
      </c>
      <c r="J461" t="s">
        <v>76</v>
      </c>
      <c r="K461" t="s">
        <v>83</v>
      </c>
      <c r="L461" s="3">
        <f>SUM(SalesData3[Sales Amount (PKR)])</f>
        <v>11946830</v>
      </c>
    </row>
    <row r="462" spans="1:12" ht="14.25" customHeight="1" x14ac:dyDescent="0.45">
      <c r="A462" t="s">
        <v>752</v>
      </c>
      <c r="B462" s="2" t="s">
        <v>667</v>
      </c>
      <c r="C462" t="s">
        <v>89</v>
      </c>
      <c r="D462" t="s">
        <v>398</v>
      </c>
      <c r="E462" t="s">
        <v>399</v>
      </c>
      <c r="F462" t="s">
        <v>75</v>
      </c>
      <c r="G462">
        <v>1</v>
      </c>
      <c r="H462" s="3">
        <v>3250</v>
      </c>
      <c r="I462" s="3">
        <v>3250</v>
      </c>
      <c r="J462" t="s">
        <v>76</v>
      </c>
      <c r="K462" t="s">
        <v>83</v>
      </c>
      <c r="L462" s="3">
        <f>SUM(SalesData3[Sales Amount (PKR)])</f>
        <v>11946830</v>
      </c>
    </row>
    <row r="463" spans="1:12" ht="14.25" customHeight="1" x14ac:dyDescent="0.45">
      <c r="A463" t="s">
        <v>753</v>
      </c>
      <c r="B463" s="2" t="s">
        <v>376</v>
      </c>
      <c r="C463" t="s">
        <v>72</v>
      </c>
      <c r="D463" t="s">
        <v>472</v>
      </c>
      <c r="E463" t="s">
        <v>500</v>
      </c>
      <c r="F463" t="s">
        <v>117</v>
      </c>
      <c r="G463">
        <v>2</v>
      </c>
      <c r="H463" s="3">
        <v>1620</v>
      </c>
      <c r="I463" s="3">
        <v>3240</v>
      </c>
      <c r="J463" t="s">
        <v>76</v>
      </c>
      <c r="K463" t="s">
        <v>83</v>
      </c>
      <c r="L463" s="3">
        <f>SUM(SalesData3[Sales Amount (PKR)])</f>
        <v>11946830</v>
      </c>
    </row>
    <row r="464" spans="1:12" ht="14.25" customHeight="1" x14ac:dyDescent="0.45">
      <c r="A464" t="s">
        <v>754</v>
      </c>
      <c r="B464" s="2" t="s">
        <v>150</v>
      </c>
      <c r="C464" t="s">
        <v>89</v>
      </c>
      <c r="D464" t="s">
        <v>472</v>
      </c>
      <c r="E464" t="s">
        <v>500</v>
      </c>
      <c r="F464" t="s">
        <v>81</v>
      </c>
      <c r="G464">
        <v>2</v>
      </c>
      <c r="H464" s="3">
        <v>1620</v>
      </c>
      <c r="I464" s="3">
        <v>3240</v>
      </c>
      <c r="J464" t="s">
        <v>76</v>
      </c>
      <c r="K464" t="s">
        <v>77</v>
      </c>
      <c r="L464" s="3">
        <f>SUM(SalesData3[Sales Amount (PKR)])</f>
        <v>11946830</v>
      </c>
    </row>
    <row r="465" spans="1:12" ht="14.25" customHeight="1" x14ac:dyDescent="0.45">
      <c r="A465" t="s">
        <v>755</v>
      </c>
      <c r="B465" s="2" t="s">
        <v>670</v>
      </c>
      <c r="C465" t="s">
        <v>80</v>
      </c>
      <c r="D465" t="s">
        <v>398</v>
      </c>
      <c r="E465" t="s">
        <v>399</v>
      </c>
      <c r="F465" t="s">
        <v>107</v>
      </c>
      <c r="G465">
        <v>1</v>
      </c>
      <c r="H465" s="3">
        <v>3240</v>
      </c>
      <c r="I465" s="3">
        <v>3240</v>
      </c>
      <c r="J465" t="s">
        <v>76</v>
      </c>
      <c r="K465" t="s">
        <v>83</v>
      </c>
      <c r="L465" s="3">
        <f>SUM(SalesData3[Sales Amount (PKR)])</f>
        <v>11946830</v>
      </c>
    </row>
    <row r="466" spans="1:12" ht="14.25" customHeight="1" x14ac:dyDescent="0.45">
      <c r="A466" t="s">
        <v>756</v>
      </c>
      <c r="B466" s="2" t="s">
        <v>271</v>
      </c>
      <c r="C466" t="s">
        <v>72</v>
      </c>
      <c r="D466" t="s">
        <v>398</v>
      </c>
      <c r="E466" t="s">
        <v>399</v>
      </c>
      <c r="F466" t="s">
        <v>75</v>
      </c>
      <c r="G466">
        <v>1</v>
      </c>
      <c r="H466" s="3">
        <v>3230</v>
      </c>
      <c r="I466" s="3">
        <v>3230</v>
      </c>
      <c r="J466" t="s">
        <v>76</v>
      </c>
      <c r="K466" t="s">
        <v>83</v>
      </c>
      <c r="L466" s="3">
        <f>SUM(SalesData3[Sales Amount (PKR)])</f>
        <v>11946830</v>
      </c>
    </row>
    <row r="467" spans="1:12" ht="14.25" customHeight="1" x14ac:dyDescent="0.45">
      <c r="A467" t="s">
        <v>757</v>
      </c>
      <c r="B467" s="2" t="s">
        <v>229</v>
      </c>
      <c r="C467" t="s">
        <v>96</v>
      </c>
      <c r="D467" t="s">
        <v>398</v>
      </c>
      <c r="E467" t="s">
        <v>399</v>
      </c>
      <c r="F467" t="s">
        <v>90</v>
      </c>
      <c r="G467">
        <v>1</v>
      </c>
      <c r="H467" s="3">
        <v>3230</v>
      </c>
      <c r="I467" s="3">
        <v>3230</v>
      </c>
      <c r="J467" t="s">
        <v>82</v>
      </c>
      <c r="K467" t="s">
        <v>77</v>
      </c>
      <c r="L467" s="3">
        <f>SUM(SalesData3[Sales Amount (PKR)])</f>
        <v>11946830</v>
      </c>
    </row>
    <row r="468" spans="1:12" ht="14.25" customHeight="1" x14ac:dyDescent="0.45">
      <c r="A468" t="s">
        <v>758</v>
      </c>
      <c r="B468" s="2" t="s">
        <v>130</v>
      </c>
      <c r="C468" t="s">
        <v>100</v>
      </c>
      <c r="D468" t="s">
        <v>398</v>
      </c>
      <c r="E468" t="s">
        <v>399</v>
      </c>
      <c r="F468" t="s">
        <v>75</v>
      </c>
      <c r="G468">
        <v>1</v>
      </c>
      <c r="H468" s="3">
        <v>3230</v>
      </c>
      <c r="I468" s="3">
        <v>3230</v>
      </c>
      <c r="J468" t="s">
        <v>82</v>
      </c>
      <c r="K468" t="s">
        <v>77</v>
      </c>
      <c r="L468" s="3">
        <f>SUM(SalesData3[Sales Amount (PKR)])</f>
        <v>11946830</v>
      </c>
    </row>
    <row r="469" spans="1:12" ht="14.25" customHeight="1" x14ac:dyDescent="0.45">
      <c r="A469" t="s">
        <v>759</v>
      </c>
      <c r="B469" s="2" t="s">
        <v>119</v>
      </c>
      <c r="C469" t="s">
        <v>96</v>
      </c>
      <c r="D469" t="s">
        <v>398</v>
      </c>
      <c r="E469" t="s">
        <v>399</v>
      </c>
      <c r="F469" t="s">
        <v>117</v>
      </c>
      <c r="G469">
        <v>1</v>
      </c>
      <c r="H469" s="3">
        <v>3230</v>
      </c>
      <c r="I469" s="3">
        <v>3230</v>
      </c>
      <c r="J469" t="s">
        <v>76</v>
      </c>
      <c r="K469" t="s">
        <v>77</v>
      </c>
      <c r="L469" s="3">
        <f>SUM(SalesData3[Sales Amount (PKR)])</f>
        <v>11946830</v>
      </c>
    </row>
    <row r="470" spans="1:12" ht="14.25" customHeight="1" x14ac:dyDescent="0.45">
      <c r="A470" t="s">
        <v>760</v>
      </c>
      <c r="B470" s="2" t="s">
        <v>350</v>
      </c>
      <c r="C470" t="s">
        <v>100</v>
      </c>
      <c r="D470" t="s">
        <v>472</v>
      </c>
      <c r="E470" t="s">
        <v>500</v>
      </c>
      <c r="F470" t="s">
        <v>81</v>
      </c>
      <c r="G470">
        <v>2</v>
      </c>
      <c r="H470" s="3">
        <v>1610</v>
      </c>
      <c r="I470" s="3">
        <v>3220</v>
      </c>
      <c r="J470" t="s">
        <v>76</v>
      </c>
      <c r="K470" t="s">
        <v>83</v>
      </c>
      <c r="L470" s="3">
        <f>SUM(SalesData3[Sales Amount (PKR)])</f>
        <v>11946830</v>
      </c>
    </row>
    <row r="471" spans="1:12" ht="14.25" customHeight="1" x14ac:dyDescent="0.45">
      <c r="A471" t="s">
        <v>761</v>
      </c>
      <c r="B471" s="2" t="s">
        <v>591</v>
      </c>
      <c r="C471" t="s">
        <v>89</v>
      </c>
      <c r="D471" t="s">
        <v>472</v>
      </c>
      <c r="E471" t="s">
        <v>500</v>
      </c>
      <c r="F471" t="s">
        <v>75</v>
      </c>
      <c r="G471">
        <v>2</v>
      </c>
      <c r="H471" s="3">
        <v>1610</v>
      </c>
      <c r="I471" s="3">
        <v>3220</v>
      </c>
      <c r="J471" t="s">
        <v>76</v>
      </c>
      <c r="K471" t="s">
        <v>83</v>
      </c>
      <c r="L471" s="3">
        <f>SUM(SalesData3[Sales Amount (PKR)])</f>
        <v>11946830</v>
      </c>
    </row>
    <row r="472" spans="1:12" ht="14.25" customHeight="1" x14ac:dyDescent="0.45">
      <c r="A472" t="s">
        <v>762</v>
      </c>
      <c r="B472" s="2" t="s">
        <v>175</v>
      </c>
      <c r="C472" t="s">
        <v>100</v>
      </c>
      <c r="D472" t="s">
        <v>398</v>
      </c>
      <c r="E472" t="s">
        <v>399</v>
      </c>
      <c r="F472" t="s">
        <v>90</v>
      </c>
      <c r="G472">
        <v>1</v>
      </c>
      <c r="H472" s="3">
        <v>3220</v>
      </c>
      <c r="I472" s="3">
        <v>3220</v>
      </c>
      <c r="J472" t="s">
        <v>76</v>
      </c>
      <c r="K472" t="s">
        <v>83</v>
      </c>
      <c r="L472" s="3">
        <f>SUM(SalesData3[Sales Amount (PKR)])</f>
        <v>11946830</v>
      </c>
    </row>
    <row r="473" spans="1:12" ht="14.25" customHeight="1" x14ac:dyDescent="0.45">
      <c r="A473" t="s">
        <v>763</v>
      </c>
      <c r="B473" s="2" t="s">
        <v>540</v>
      </c>
      <c r="C473" t="s">
        <v>89</v>
      </c>
      <c r="D473" t="s">
        <v>398</v>
      </c>
      <c r="E473" t="s">
        <v>399</v>
      </c>
      <c r="F473" t="s">
        <v>123</v>
      </c>
      <c r="G473">
        <v>1</v>
      </c>
      <c r="H473" s="3">
        <v>3210</v>
      </c>
      <c r="I473" s="3">
        <v>3210</v>
      </c>
      <c r="J473" t="s">
        <v>76</v>
      </c>
      <c r="K473" t="s">
        <v>93</v>
      </c>
      <c r="L473" s="3">
        <f>SUM(SalesData3[Sales Amount (PKR)])</f>
        <v>11946830</v>
      </c>
    </row>
    <row r="474" spans="1:12" ht="14.25" customHeight="1" x14ac:dyDescent="0.45">
      <c r="A474" t="s">
        <v>764</v>
      </c>
      <c r="B474" s="2" t="s">
        <v>552</v>
      </c>
      <c r="C474" t="s">
        <v>89</v>
      </c>
      <c r="D474" t="s">
        <v>472</v>
      </c>
      <c r="E474" t="s">
        <v>497</v>
      </c>
      <c r="F474" t="s">
        <v>107</v>
      </c>
      <c r="G474">
        <v>1</v>
      </c>
      <c r="H474" s="3">
        <v>3210</v>
      </c>
      <c r="I474" s="3">
        <v>3210</v>
      </c>
      <c r="J474" t="s">
        <v>82</v>
      </c>
      <c r="K474" t="s">
        <v>83</v>
      </c>
      <c r="L474" s="3">
        <f>SUM(SalesData3[Sales Amount (PKR)])</f>
        <v>11946830</v>
      </c>
    </row>
    <row r="475" spans="1:12" ht="14.25" customHeight="1" x14ac:dyDescent="0.45">
      <c r="A475" t="s">
        <v>765</v>
      </c>
      <c r="B475" s="2" t="s">
        <v>181</v>
      </c>
      <c r="C475" t="s">
        <v>72</v>
      </c>
      <c r="D475" t="s">
        <v>398</v>
      </c>
      <c r="E475" t="s">
        <v>399</v>
      </c>
      <c r="F475" t="s">
        <v>140</v>
      </c>
      <c r="G475">
        <v>1</v>
      </c>
      <c r="H475" s="3">
        <v>3210</v>
      </c>
      <c r="I475" s="3">
        <v>3210</v>
      </c>
      <c r="J475" t="s">
        <v>76</v>
      </c>
      <c r="K475" t="s">
        <v>93</v>
      </c>
      <c r="L475" s="3">
        <f>SUM(SalesData3[Sales Amount (PKR)])</f>
        <v>11946830</v>
      </c>
    </row>
    <row r="476" spans="1:12" ht="14.25" customHeight="1" x14ac:dyDescent="0.45">
      <c r="A476" t="s">
        <v>766</v>
      </c>
      <c r="B476" s="2" t="s">
        <v>481</v>
      </c>
      <c r="C476" t="s">
        <v>89</v>
      </c>
      <c r="D476" t="s">
        <v>472</v>
      </c>
      <c r="E476" t="s">
        <v>497</v>
      </c>
      <c r="F476" t="s">
        <v>140</v>
      </c>
      <c r="G476">
        <v>1</v>
      </c>
      <c r="H476" s="3">
        <v>3200</v>
      </c>
      <c r="I476" s="3">
        <v>3200</v>
      </c>
      <c r="J476" t="s">
        <v>76</v>
      </c>
      <c r="K476" t="s">
        <v>83</v>
      </c>
      <c r="L476" s="3">
        <f>SUM(SalesData3[Sales Amount (PKR)])</f>
        <v>11946830</v>
      </c>
    </row>
    <row r="477" spans="1:12" ht="14.25" customHeight="1" x14ac:dyDescent="0.45">
      <c r="A477" t="s">
        <v>767</v>
      </c>
      <c r="B477" s="2" t="s">
        <v>374</v>
      </c>
      <c r="C477" t="s">
        <v>89</v>
      </c>
      <c r="D477" t="s">
        <v>472</v>
      </c>
      <c r="E477" t="s">
        <v>497</v>
      </c>
      <c r="F477" t="s">
        <v>140</v>
      </c>
      <c r="G477">
        <v>1</v>
      </c>
      <c r="H477" s="3">
        <v>3200</v>
      </c>
      <c r="I477" s="3">
        <v>3200</v>
      </c>
      <c r="J477" t="s">
        <v>76</v>
      </c>
      <c r="K477" t="s">
        <v>93</v>
      </c>
      <c r="L477" s="3">
        <f>SUM(SalesData3[Sales Amount (PKR)])</f>
        <v>11946830</v>
      </c>
    </row>
    <row r="478" spans="1:12" ht="14.25" customHeight="1" x14ac:dyDescent="0.45">
      <c r="A478" t="s">
        <v>768</v>
      </c>
      <c r="B478" s="2" t="s">
        <v>428</v>
      </c>
      <c r="C478" t="s">
        <v>89</v>
      </c>
      <c r="D478" t="s">
        <v>472</v>
      </c>
      <c r="E478" t="s">
        <v>497</v>
      </c>
      <c r="F478" t="s">
        <v>75</v>
      </c>
      <c r="G478">
        <v>1</v>
      </c>
      <c r="H478" s="3">
        <v>3200</v>
      </c>
      <c r="I478" s="3">
        <v>3200</v>
      </c>
      <c r="J478" t="s">
        <v>76</v>
      </c>
      <c r="K478" t="s">
        <v>83</v>
      </c>
      <c r="L478" s="3">
        <f>SUM(SalesData3[Sales Amount (PKR)])</f>
        <v>11946830</v>
      </c>
    </row>
    <row r="479" spans="1:12" ht="14.25" customHeight="1" x14ac:dyDescent="0.45">
      <c r="A479" t="s">
        <v>769</v>
      </c>
      <c r="B479" s="2" t="s">
        <v>770</v>
      </c>
      <c r="C479" t="s">
        <v>80</v>
      </c>
      <c r="D479" t="s">
        <v>398</v>
      </c>
      <c r="E479" t="s">
        <v>399</v>
      </c>
      <c r="F479" t="s">
        <v>131</v>
      </c>
      <c r="G479">
        <v>1</v>
      </c>
      <c r="H479" s="3">
        <v>3200</v>
      </c>
      <c r="I479" s="3">
        <v>3200</v>
      </c>
      <c r="J479" t="s">
        <v>76</v>
      </c>
      <c r="K479" t="s">
        <v>77</v>
      </c>
      <c r="L479" s="3">
        <f>SUM(SalesData3[Sales Amount (PKR)])</f>
        <v>11946830</v>
      </c>
    </row>
    <row r="480" spans="1:12" ht="14.25" customHeight="1" x14ac:dyDescent="0.45">
      <c r="A480" t="s">
        <v>771</v>
      </c>
      <c r="B480" s="2" t="s">
        <v>715</v>
      </c>
      <c r="C480" t="s">
        <v>72</v>
      </c>
      <c r="D480" t="s">
        <v>472</v>
      </c>
      <c r="E480" t="s">
        <v>497</v>
      </c>
      <c r="F480" t="s">
        <v>131</v>
      </c>
      <c r="G480">
        <v>1</v>
      </c>
      <c r="H480" s="3">
        <v>3200</v>
      </c>
      <c r="I480" s="3">
        <v>3200</v>
      </c>
      <c r="J480" t="s">
        <v>82</v>
      </c>
      <c r="K480" t="s">
        <v>83</v>
      </c>
      <c r="L480" s="3">
        <f>SUM(SalesData3[Sales Amount (PKR)])</f>
        <v>11946830</v>
      </c>
    </row>
    <row r="481" spans="1:12" ht="14.25" customHeight="1" x14ac:dyDescent="0.45">
      <c r="A481" t="s">
        <v>772</v>
      </c>
      <c r="B481" s="2" t="s">
        <v>354</v>
      </c>
      <c r="C481" t="s">
        <v>96</v>
      </c>
      <c r="D481" t="s">
        <v>472</v>
      </c>
      <c r="E481" t="s">
        <v>497</v>
      </c>
      <c r="F481" t="s">
        <v>97</v>
      </c>
      <c r="G481">
        <v>1</v>
      </c>
      <c r="H481" s="3">
        <v>3190</v>
      </c>
      <c r="I481" s="3">
        <v>3190</v>
      </c>
      <c r="J481" t="s">
        <v>76</v>
      </c>
      <c r="K481" t="s">
        <v>93</v>
      </c>
      <c r="L481" s="3">
        <f>SUM(SalesData3[Sales Amount (PKR)])</f>
        <v>11946830</v>
      </c>
    </row>
    <row r="482" spans="1:12" ht="14.25" customHeight="1" x14ac:dyDescent="0.45">
      <c r="A482" t="s">
        <v>773</v>
      </c>
      <c r="B482" s="2" t="s">
        <v>595</v>
      </c>
      <c r="C482" t="s">
        <v>96</v>
      </c>
      <c r="D482" t="s">
        <v>398</v>
      </c>
      <c r="E482" t="s">
        <v>399</v>
      </c>
      <c r="F482" t="s">
        <v>97</v>
      </c>
      <c r="G482">
        <v>1</v>
      </c>
      <c r="H482" s="3">
        <v>3180</v>
      </c>
      <c r="I482" s="3">
        <v>3180</v>
      </c>
      <c r="J482" t="s">
        <v>76</v>
      </c>
      <c r="K482" t="s">
        <v>83</v>
      </c>
      <c r="L482" s="3">
        <f>SUM(SalesData3[Sales Amount (PKR)])</f>
        <v>11946830</v>
      </c>
    </row>
    <row r="483" spans="1:12" ht="14.25" customHeight="1" x14ac:dyDescent="0.45">
      <c r="A483" t="s">
        <v>774</v>
      </c>
      <c r="B483" s="2" t="s">
        <v>71</v>
      </c>
      <c r="C483" t="s">
        <v>89</v>
      </c>
      <c r="D483" t="s">
        <v>398</v>
      </c>
      <c r="E483" t="s">
        <v>399</v>
      </c>
      <c r="F483" t="s">
        <v>81</v>
      </c>
      <c r="G483">
        <v>1</v>
      </c>
      <c r="H483" s="3">
        <v>3180</v>
      </c>
      <c r="I483" s="3">
        <v>3180</v>
      </c>
      <c r="J483" t="s">
        <v>82</v>
      </c>
      <c r="K483" t="s">
        <v>83</v>
      </c>
      <c r="L483" s="3">
        <f>SUM(SalesData3[Sales Amount (PKR)])</f>
        <v>11946830</v>
      </c>
    </row>
    <row r="484" spans="1:12" ht="14.25" customHeight="1" x14ac:dyDescent="0.45">
      <c r="A484" t="s">
        <v>775</v>
      </c>
      <c r="B484" s="2" t="s">
        <v>202</v>
      </c>
      <c r="C484" t="s">
        <v>96</v>
      </c>
      <c r="D484" t="s">
        <v>472</v>
      </c>
      <c r="E484" t="s">
        <v>500</v>
      </c>
      <c r="F484" t="s">
        <v>107</v>
      </c>
      <c r="G484">
        <v>2</v>
      </c>
      <c r="H484" s="3">
        <v>1590</v>
      </c>
      <c r="I484" s="3">
        <v>3180</v>
      </c>
      <c r="J484" t="s">
        <v>76</v>
      </c>
      <c r="K484" t="s">
        <v>77</v>
      </c>
      <c r="L484" s="3">
        <f>SUM(SalesData3[Sales Amount (PKR)])</f>
        <v>11946830</v>
      </c>
    </row>
    <row r="485" spans="1:12" ht="14.25" customHeight="1" x14ac:dyDescent="0.45">
      <c r="A485" t="s">
        <v>776</v>
      </c>
      <c r="B485" s="2" t="s">
        <v>103</v>
      </c>
      <c r="C485" t="s">
        <v>89</v>
      </c>
      <c r="D485" t="s">
        <v>472</v>
      </c>
      <c r="E485" t="s">
        <v>500</v>
      </c>
      <c r="F485" t="s">
        <v>107</v>
      </c>
      <c r="G485">
        <v>2</v>
      </c>
      <c r="H485" s="3">
        <v>1590</v>
      </c>
      <c r="I485" s="3">
        <v>3180</v>
      </c>
      <c r="J485" t="s">
        <v>82</v>
      </c>
      <c r="K485" t="s">
        <v>83</v>
      </c>
      <c r="L485" s="3">
        <f>SUM(SalesData3[Sales Amount (PKR)])</f>
        <v>11946830</v>
      </c>
    </row>
    <row r="486" spans="1:12" ht="14.25" customHeight="1" x14ac:dyDescent="0.45">
      <c r="A486" t="s">
        <v>777</v>
      </c>
      <c r="B486" s="2" t="s">
        <v>311</v>
      </c>
      <c r="C486" t="s">
        <v>89</v>
      </c>
      <c r="D486" t="s">
        <v>472</v>
      </c>
      <c r="E486" t="s">
        <v>497</v>
      </c>
      <c r="F486" t="s">
        <v>123</v>
      </c>
      <c r="G486">
        <v>1</v>
      </c>
      <c r="H486" s="3">
        <v>3180</v>
      </c>
      <c r="I486" s="3">
        <v>3180</v>
      </c>
      <c r="J486" t="s">
        <v>82</v>
      </c>
      <c r="K486" t="s">
        <v>83</v>
      </c>
      <c r="L486" s="3">
        <f>SUM(SalesData3[Sales Amount (PKR)])</f>
        <v>11946830</v>
      </c>
    </row>
    <row r="487" spans="1:12" ht="14.25" customHeight="1" x14ac:dyDescent="0.45">
      <c r="A487" t="s">
        <v>778</v>
      </c>
      <c r="B487" s="2" t="s">
        <v>617</v>
      </c>
      <c r="C487" t="s">
        <v>72</v>
      </c>
      <c r="D487" t="s">
        <v>472</v>
      </c>
      <c r="E487" t="s">
        <v>497</v>
      </c>
      <c r="F487" t="s">
        <v>86</v>
      </c>
      <c r="G487">
        <v>1</v>
      </c>
      <c r="H487" s="3">
        <v>3180</v>
      </c>
      <c r="I487" s="3">
        <v>3180</v>
      </c>
      <c r="J487" t="s">
        <v>76</v>
      </c>
      <c r="K487" t="s">
        <v>77</v>
      </c>
      <c r="L487" s="3">
        <f>SUM(SalesData3[Sales Amount (PKR)])</f>
        <v>11946830</v>
      </c>
    </row>
    <row r="488" spans="1:12" ht="14.25" customHeight="1" x14ac:dyDescent="0.45">
      <c r="A488" t="s">
        <v>779</v>
      </c>
      <c r="B488" s="2" t="s">
        <v>658</v>
      </c>
      <c r="C488" t="s">
        <v>96</v>
      </c>
      <c r="D488" t="s">
        <v>472</v>
      </c>
      <c r="E488" t="s">
        <v>497</v>
      </c>
      <c r="F488" t="s">
        <v>117</v>
      </c>
      <c r="G488">
        <v>1</v>
      </c>
      <c r="H488" s="3">
        <v>3170</v>
      </c>
      <c r="I488" s="3">
        <v>3170</v>
      </c>
      <c r="J488" t="s">
        <v>82</v>
      </c>
      <c r="K488" t="s">
        <v>93</v>
      </c>
      <c r="L488" s="3">
        <f>SUM(SalesData3[Sales Amount (PKR)])</f>
        <v>11946830</v>
      </c>
    </row>
    <row r="489" spans="1:12" ht="14.25" customHeight="1" x14ac:dyDescent="0.45">
      <c r="A489" t="s">
        <v>780</v>
      </c>
      <c r="B489" s="2" t="s">
        <v>200</v>
      </c>
      <c r="C489" t="s">
        <v>72</v>
      </c>
      <c r="D489" t="s">
        <v>472</v>
      </c>
      <c r="E489" t="s">
        <v>497</v>
      </c>
      <c r="F489" t="s">
        <v>107</v>
      </c>
      <c r="G489">
        <v>1</v>
      </c>
      <c r="H489" s="3">
        <v>3170</v>
      </c>
      <c r="I489" s="3">
        <v>3170</v>
      </c>
      <c r="J489" t="s">
        <v>76</v>
      </c>
      <c r="K489" t="s">
        <v>77</v>
      </c>
      <c r="L489" s="3">
        <f>SUM(SalesData3[Sales Amount (PKR)])</f>
        <v>11946830</v>
      </c>
    </row>
    <row r="490" spans="1:12" ht="14.25" customHeight="1" x14ac:dyDescent="0.45">
      <c r="A490" t="s">
        <v>781</v>
      </c>
      <c r="B490" s="2" t="s">
        <v>251</v>
      </c>
      <c r="C490" t="s">
        <v>80</v>
      </c>
      <c r="D490" t="s">
        <v>472</v>
      </c>
      <c r="E490" t="s">
        <v>497</v>
      </c>
      <c r="F490" t="s">
        <v>117</v>
      </c>
      <c r="G490">
        <v>1</v>
      </c>
      <c r="H490" s="3">
        <v>3170</v>
      </c>
      <c r="I490" s="3">
        <v>3170</v>
      </c>
      <c r="J490" t="s">
        <v>82</v>
      </c>
      <c r="K490" t="s">
        <v>93</v>
      </c>
      <c r="L490" s="3">
        <f>SUM(SalesData3[Sales Amount (PKR)])</f>
        <v>11946830</v>
      </c>
    </row>
    <row r="491" spans="1:12" ht="14.25" customHeight="1" x14ac:dyDescent="0.45">
      <c r="A491" t="s">
        <v>782</v>
      </c>
      <c r="B491" s="2" t="s">
        <v>154</v>
      </c>
      <c r="C491" t="s">
        <v>72</v>
      </c>
      <c r="D491" t="s">
        <v>398</v>
      </c>
      <c r="E491" t="s">
        <v>399</v>
      </c>
      <c r="F491" t="s">
        <v>81</v>
      </c>
      <c r="G491">
        <v>1</v>
      </c>
      <c r="H491" s="3">
        <v>3170</v>
      </c>
      <c r="I491" s="3">
        <v>3170</v>
      </c>
      <c r="J491" t="s">
        <v>76</v>
      </c>
      <c r="K491" t="s">
        <v>83</v>
      </c>
      <c r="L491" s="3">
        <f>SUM(SalesData3[Sales Amount (PKR)])</f>
        <v>11946830</v>
      </c>
    </row>
    <row r="492" spans="1:12" ht="14.25" customHeight="1" x14ac:dyDescent="0.45">
      <c r="A492" t="s">
        <v>783</v>
      </c>
      <c r="B492" s="2" t="s">
        <v>412</v>
      </c>
      <c r="C492" t="s">
        <v>96</v>
      </c>
      <c r="D492" t="s">
        <v>398</v>
      </c>
      <c r="E492" t="s">
        <v>399</v>
      </c>
      <c r="F492" t="s">
        <v>97</v>
      </c>
      <c r="G492">
        <v>1</v>
      </c>
      <c r="H492" s="3">
        <v>3170</v>
      </c>
      <c r="I492" s="3">
        <v>3170</v>
      </c>
      <c r="J492" t="s">
        <v>76</v>
      </c>
      <c r="K492" t="s">
        <v>83</v>
      </c>
      <c r="L492" s="3">
        <f>SUM(SalesData3[Sales Amount (PKR)])</f>
        <v>11946830</v>
      </c>
    </row>
    <row r="493" spans="1:12" ht="14.25" customHeight="1" x14ac:dyDescent="0.45">
      <c r="A493" t="s">
        <v>784</v>
      </c>
      <c r="B493" s="2" t="s">
        <v>92</v>
      </c>
      <c r="C493" t="s">
        <v>72</v>
      </c>
      <c r="D493" t="s">
        <v>472</v>
      </c>
      <c r="E493" t="s">
        <v>497</v>
      </c>
      <c r="F493" t="s">
        <v>86</v>
      </c>
      <c r="G493">
        <v>1</v>
      </c>
      <c r="H493" s="3">
        <v>3160</v>
      </c>
      <c r="I493" s="3">
        <v>3160</v>
      </c>
      <c r="J493" t="s">
        <v>76</v>
      </c>
      <c r="K493" t="s">
        <v>83</v>
      </c>
      <c r="L493" s="3">
        <f>SUM(SalesData3[Sales Amount (PKR)])</f>
        <v>11946830</v>
      </c>
    </row>
    <row r="494" spans="1:12" ht="14.25" customHeight="1" x14ac:dyDescent="0.45">
      <c r="A494" t="s">
        <v>785</v>
      </c>
      <c r="B494" s="2" t="s">
        <v>71</v>
      </c>
      <c r="C494" t="s">
        <v>96</v>
      </c>
      <c r="D494" t="s">
        <v>472</v>
      </c>
      <c r="E494" t="s">
        <v>497</v>
      </c>
      <c r="F494" t="s">
        <v>131</v>
      </c>
      <c r="G494">
        <v>1</v>
      </c>
      <c r="H494" s="3">
        <v>3160</v>
      </c>
      <c r="I494" s="3">
        <v>3160</v>
      </c>
      <c r="J494" t="s">
        <v>82</v>
      </c>
      <c r="K494" t="s">
        <v>77</v>
      </c>
      <c r="L494" s="3">
        <f>SUM(SalesData3[Sales Amount (PKR)])</f>
        <v>11946830</v>
      </c>
    </row>
    <row r="495" spans="1:12" ht="14.25" customHeight="1" x14ac:dyDescent="0.45">
      <c r="A495" t="s">
        <v>786</v>
      </c>
      <c r="B495" s="2" t="s">
        <v>258</v>
      </c>
      <c r="C495" t="s">
        <v>89</v>
      </c>
      <c r="D495" t="s">
        <v>472</v>
      </c>
      <c r="E495" t="s">
        <v>497</v>
      </c>
      <c r="F495" t="s">
        <v>75</v>
      </c>
      <c r="G495">
        <v>1</v>
      </c>
      <c r="H495" s="3">
        <v>3160</v>
      </c>
      <c r="I495" s="3">
        <v>3160</v>
      </c>
      <c r="J495" t="s">
        <v>82</v>
      </c>
      <c r="K495" t="s">
        <v>93</v>
      </c>
      <c r="L495" s="3">
        <f>SUM(SalesData3[Sales Amount (PKR)])</f>
        <v>11946830</v>
      </c>
    </row>
    <row r="496" spans="1:12" ht="14.25" customHeight="1" x14ac:dyDescent="0.45">
      <c r="A496" t="s">
        <v>787</v>
      </c>
      <c r="B496" s="2" t="s">
        <v>439</v>
      </c>
      <c r="C496" t="s">
        <v>96</v>
      </c>
      <c r="D496" t="s">
        <v>472</v>
      </c>
      <c r="E496" t="s">
        <v>497</v>
      </c>
      <c r="F496" t="s">
        <v>131</v>
      </c>
      <c r="G496">
        <v>1</v>
      </c>
      <c r="H496" s="3">
        <v>3160</v>
      </c>
      <c r="I496" s="3">
        <v>3160</v>
      </c>
      <c r="J496" t="s">
        <v>76</v>
      </c>
      <c r="K496" t="s">
        <v>77</v>
      </c>
      <c r="L496" s="3">
        <f>SUM(SalesData3[Sales Amount (PKR)])</f>
        <v>11946830</v>
      </c>
    </row>
    <row r="497" spans="1:12" ht="14.25" customHeight="1" x14ac:dyDescent="0.45">
      <c r="A497" t="s">
        <v>788</v>
      </c>
      <c r="B497" s="2" t="s">
        <v>119</v>
      </c>
      <c r="C497" t="s">
        <v>89</v>
      </c>
      <c r="D497" t="s">
        <v>398</v>
      </c>
      <c r="E497" t="s">
        <v>399</v>
      </c>
      <c r="F497" t="s">
        <v>117</v>
      </c>
      <c r="G497">
        <v>1</v>
      </c>
      <c r="H497" s="3">
        <v>3150</v>
      </c>
      <c r="I497" s="3">
        <v>3150</v>
      </c>
      <c r="J497" t="s">
        <v>76</v>
      </c>
      <c r="K497" t="s">
        <v>83</v>
      </c>
      <c r="L497" s="3">
        <f>SUM(SalesData3[Sales Amount (PKR)])</f>
        <v>11946830</v>
      </c>
    </row>
    <row r="498" spans="1:12" ht="14.25" customHeight="1" x14ac:dyDescent="0.45">
      <c r="A498" t="s">
        <v>789</v>
      </c>
      <c r="B498" s="2" t="s">
        <v>352</v>
      </c>
      <c r="C498" t="s">
        <v>96</v>
      </c>
      <c r="D498" t="s">
        <v>398</v>
      </c>
      <c r="E498" t="s">
        <v>399</v>
      </c>
      <c r="F498" t="s">
        <v>81</v>
      </c>
      <c r="G498">
        <v>1</v>
      </c>
      <c r="H498" s="3">
        <v>3150</v>
      </c>
      <c r="I498" s="3">
        <v>3150</v>
      </c>
      <c r="J498" t="s">
        <v>76</v>
      </c>
      <c r="K498" t="s">
        <v>83</v>
      </c>
      <c r="L498" s="3">
        <f>SUM(SalesData3[Sales Amount (PKR)])</f>
        <v>11946830</v>
      </c>
    </row>
    <row r="499" spans="1:12" ht="14.25" customHeight="1" x14ac:dyDescent="0.45">
      <c r="A499" t="s">
        <v>790</v>
      </c>
      <c r="B499" s="2" t="s">
        <v>791</v>
      </c>
      <c r="C499" t="s">
        <v>96</v>
      </c>
      <c r="D499" t="s">
        <v>472</v>
      </c>
      <c r="E499" t="s">
        <v>497</v>
      </c>
      <c r="F499" t="s">
        <v>97</v>
      </c>
      <c r="G499">
        <v>1</v>
      </c>
      <c r="H499" s="3">
        <v>3150</v>
      </c>
      <c r="I499" s="3">
        <v>3150</v>
      </c>
      <c r="J499" t="s">
        <v>76</v>
      </c>
      <c r="K499" t="s">
        <v>77</v>
      </c>
      <c r="L499" s="3">
        <f>SUM(SalesData3[Sales Amount (PKR)])</f>
        <v>11946830</v>
      </c>
    </row>
    <row r="500" spans="1:12" ht="14.25" customHeight="1" x14ac:dyDescent="0.45">
      <c r="A500" t="s">
        <v>792</v>
      </c>
      <c r="B500" s="2" t="s">
        <v>305</v>
      </c>
      <c r="C500" t="s">
        <v>96</v>
      </c>
      <c r="D500" t="s">
        <v>398</v>
      </c>
      <c r="E500" t="s">
        <v>399</v>
      </c>
      <c r="F500" t="s">
        <v>75</v>
      </c>
      <c r="G500">
        <v>1</v>
      </c>
      <c r="H500" s="3">
        <v>3150</v>
      </c>
      <c r="I500" s="3">
        <v>3150</v>
      </c>
      <c r="J500" t="s">
        <v>82</v>
      </c>
      <c r="K500" t="s">
        <v>83</v>
      </c>
      <c r="L500" s="3">
        <f>SUM(SalesData3[Sales Amount (PKR)])</f>
        <v>11946830</v>
      </c>
    </row>
    <row r="501" spans="1:12" ht="14.25" customHeight="1" x14ac:dyDescent="0.45">
      <c r="A501" t="s">
        <v>793</v>
      </c>
      <c r="B501" s="2" t="s">
        <v>526</v>
      </c>
      <c r="C501" t="s">
        <v>100</v>
      </c>
      <c r="D501" t="s">
        <v>472</v>
      </c>
      <c r="E501" t="s">
        <v>497</v>
      </c>
      <c r="F501" t="s">
        <v>86</v>
      </c>
      <c r="G501">
        <v>1</v>
      </c>
      <c r="H501" s="3">
        <v>3150</v>
      </c>
      <c r="I501" s="3">
        <v>3150</v>
      </c>
      <c r="J501" t="s">
        <v>76</v>
      </c>
      <c r="K501" t="s">
        <v>77</v>
      </c>
      <c r="L501" s="3">
        <f>SUM(SalesData3[Sales Amount (PKR)])</f>
        <v>11946830</v>
      </c>
    </row>
    <row r="502" spans="1:12" ht="14.25" customHeight="1" x14ac:dyDescent="0.45">
      <c r="A502" t="s">
        <v>794</v>
      </c>
      <c r="B502" s="2" t="s">
        <v>188</v>
      </c>
      <c r="C502" t="s">
        <v>89</v>
      </c>
      <c r="D502" t="s">
        <v>472</v>
      </c>
      <c r="E502" t="s">
        <v>497</v>
      </c>
      <c r="F502" t="s">
        <v>90</v>
      </c>
      <c r="G502">
        <v>1</v>
      </c>
      <c r="H502" s="3">
        <v>3150</v>
      </c>
      <c r="I502" s="3">
        <v>3150</v>
      </c>
      <c r="J502" t="s">
        <v>82</v>
      </c>
      <c r="K502" t="s">
        <v>77</v>
      </c>
      <c r="L502" s="3">
        <f>SUM(SalesData3[Sales Amount (PKR)])</f>
        <v>11946830</v>
      </c>
    </row>
    <row r="503" spans="1:12" ht="14.25" customHeight="1" x14ac:dyDescent="0.45">
      <c r="A503" t="s">
        <v>795</v>
      </c>
      <c r="B503" s="2" t="s">
        <v>171</v>
      </c>
      <c r="C503" t="s">
        <v>80</v>
      </c>
      <c r="D503" t="s">
        <v>398</v>
      </c>
      <c r="E503" t="s">
        <v>399</v>
      </c>
      <c r="F503" t="s">
        <v>140</v>
      </c>
      <c r="G503">
        <v>1</v>
      </c>
      <c r="H503" s="3">
        <v>3150</v>
      </c>
      <c r="I503" s="3">
        <v>3150</v>
      </c>
      <c r="J503" t="s">
        <v>76</v>
      </c>
      <c r="K503" t="s">
        <v>93</v>
      </c>
      <c r="L503" s="3">
        <f>SUM(SalesData3[Sales Amount (PKR)])</f>
        <v>11946830</v>
      </c>
    </row>
    <row r="504" spans="1:12" ht="14.25" customHeight="1" x14ac:dyDescent="0.45">
      <c r="A504" t="s">
        <v>796</v>
      </c>
      <c r="B504" s="2" t="s">
        <v>146</v>
      </c>
      <c r="C504" t="s">
        <v>89</v>
      </c>
      <c r="D504" t="s">
        <v>472</v>
      </c>
      <c r="E504" t="s">
        <v>497</v>
      </c>
      <c r="F504" t="s">
        <v>107</v>
      </c>
      <c r="G504">
        <v>1</v>
      </c>
      <c r="H504" s="3">
        <v>3130</v>
      </c>
      <c r="I504" s="3">
        <v>3130</v>
      </c>
      <c r="J504" t="s">
        <v>76</v>
      </c>
      <c r="K504" t="s">
        <v>93</v>
      </c>
      <c r="L504" s="3">
        <f>SUM(SalesData3[Sales Amount (PKR)])</f>
        <v>11946830</v>
      </c>
    </row>
    <row r="505" spans="1:12" ht="14.25" customHeight="1" x14ac:dyDescent="0.45">
      <c r="A505" t="s">
        <v>797</v>
      </c>
      <c r="B505" s="2" t="s">
        <v>430</v>
      </c>
      <c r="C505" t="s">
        <v>89</v>
      </c>
      <c r="D505" t="s">
        <v>472</v>
      </c>
      <c r="E505" t="s">
        <v>497</v>
      </c>
      <c r="F505" t="s">
        <v>86</v>
      </c>
      <c r="G505">
        <v>1</v>
      </c>
      <c r="H505" s="3">
        <v>3130</v>
      </c>
      <c r="I505" s="3">
        <v>3130</v>
      </c>
      <c r="J505" t="s">
        <v>82</v>
      </c>
      <c r="K505" t="s">
        <v>93</v>
      </c>
      <c r="L505" s="3">
        <f>SUM(SalesData3[Sales Amount (PKR)])</f>
        <v>11946830</v>
      </c>
    </row>
    <row r="506" spans="1:12" ht="14.25" customHeight="1" x14ac:dyDescent="0.45">
      <c r="A506" t="s">
        <v>798</v>
      </c>
      <c r="B506" s="2" t="s">
        <v>171</v>
      </c>
      <c r="C506" t="s">
        <v>72</v>
      </c>
      <c r="D506" t="s">
        <v>398</v>
      </c>
      <c r="E506" t="s">
        <v>399</v>
      </c>
      <c r="F506" t="s">
        <v>131</v>
      </c>
      <c r="G506">
        <v>1</v>
      </c>
      <c r="H506" s="3">
        <v>3130</v>
      </c>
      <c r="I506" s="3">
        <v>3130</v>
      </c>
      <c r="J506" t="s">
        <v>76</v>
      </c>
      <c r="K506" t="s">
        <v>83</v>
      </c>
      <c r="L506" s="3">
        <f>SUM(SalesData3[Sales Amount (PKR)])</f>
        <v>11946830</v>
      </c>
    </row>
    <row r="507" spans="1:12" ht="14.25" customHeight="1" x14ac:dyDescent="0.45">
      <c r="A507" t="s">
        <v>799</v>
      </c>
      <c r="B507" s="2" t="s">
        <v>453</v>
      </c>
      <c r="C507" t="s">
        <v>96</v>
      </c>
      <c r="D507" t="s">
        <v>398</v>
      </c>
      <c r="E507" t="s">
        <v>399</v>
      </c>
      <c r="F507" t="s">
        <v>86</v>
      </c>
      <c r="G507">
        <v>1</v>
      </c>
      <c r="H507" s="3">
        <v>3130</v>
      </c>
      <c r="I507" s="3">
        <v>3130</v>
      </c>
      <c r="J507" t="s">
        <v>82</v>
      </c>
      <c r="K507" t="s">
        <v>77</v>
      </c>
      <c r="L507" s="3">
        <f>SUM(SalesData3[Sales Amount (PKR)])</f>
        <v>11946830</v>
      </c>
    </row>
    <row r="508" spans="1:12" ht="14.25" customHeight="1" x14ac:dyDescent="0.45">
      <c r="A508" t="s">
        <v>800</v>
      </c>
      <c r="B508" s="2" t="s">
        <v>150</v>
      </c>
      <c r="C508" t="s">
        <v>100</v>
      </c>
      <c r="D508" t="s">
        <v>398</v>
      </c>
      <c r="E508" t="s">
        <v>399</v>
      </c>
      <c r="F508" t="s">
        <v>123</v>
      </c>
      <c r="G508">
        <v>1</v>
      </c>
      <c r="H508" s="3">
        <v>3130</v>
      </c>
      <c r="I508" s="3">
        <v>3130</v>
      </c>
      <c r="J508" t="s">
        <v>82</v>
      </c>
      <c r="K508" t="s">
        <v>83</v>
      </c>
      <c r="L508" s="3">
        <f>SUM(SalesData3[Sales Amount (PKR)])</f>
        <v>11946830</v>
      </c>
    </row>
    <row r="509" spans="1:12" ht="14.25" customHeight="1" x14ac:dyDescent="0.45">
      <c r="A509" t="s">
        <v>801</v>
      </c>
      <c r="B509" s="2" t="s">
        <v>237</v>
      </c>
      <c r="C509" t="s">
        <v>89</v>
      </c>
      <c r="D509" t="s">
        <v>472</v>
      </c>
      <c r="E509" t="s">
        <v>497</v>
      </c>
      <c r="F509" t="s">
        <v>140</v>
      </c>
      <c r="G509">
        <v>1</v>
      </c>
      <c r="H509" s="3">
        <v>3130</v>
      </c>
      <c r="I509" s="3">
        <v>3130</v>
      </c>
      <c r="J509" t="s">
        <v>76</v>
      </c>
      <c r="K509" t="s">
        <v>93</v>
      </c>
      <c r="L509" s="3">
        <f>SUM(SalesData3[Sales Amount (PKR)])</f>
        <v>11946830</v>
      </c>
    </row>
    <row r="510" spans="1:12" ht="14.25" customHeight="1" x14ac:dyDescent="0.45">
      <c r="A510" t="s">
        <v>802</v>
      </c>
      <c r="B510" s="2" t="s">
        <v>439</v>
      </c>
      <c r="C510" t="s">
        <v>80</v>
      </c>
      <c r="D510" t="s">
        <v>472</v>
      </c>
      <c r="E510" t="s">
        <v>497</v>
      </c>
      <c r="F510" t="s">
        <v>123</v>
      </c>
      <c r="G510">
        <v>1</v>
      </c>
      <c r="H510" s="3">
        <v>3120</v>
      </c>
      <c r="I510" s="3">
        <v>3120</v>
      </c>
      <c r="J510" t="s">
        <v>82</v>
      </c>
      <c r="K510" t="s">
        <v>83</v>
      </c>
      <c r="L510" s="3">
        <f>SUM(SalesData3[Sales Amount (PKR)])</f>
        <v>11946830</v>
      </c>
    </row>
    <row r="511" spans="1:12" ht="14.25" customHeight="1" x14ac:dyDescent="0.45">
      <c r="A511" t="s">
        <v>803</v>
      </c>
      <c r="B511" s="2" t="s">
        <v>92</v>
      </c>
      <c r="C511" t="s">
        <v>96</v>
      </c>
      <c r="D511" t="s">
        <v>472</v>
      </c>
      <c r="E511" t="s">
        <v>497</v>
      </c>
      <c r="F511" t="s">
        <v>117</v>
      </c>
      <c r="G511">
        <v>1</v>
      </c>
      <c r="H511" s="3">
        <v>3120</v>
      </c>
      <c r="I511" s="3">
        <v>3120</v>
      </c>
      <c r="J511" t="s">
        <v>82</v>
      </c>
      <c r="K511" t="s">
        <v>83</v>
      </c>
      <c r="L511" s="3">
        <f>SUM(SalesData3[Sales Amount (PKR)])</f>
        <v>11946830</v>
      </c>
    </row>
    <row r="512" spans="1:12" ht="14.25" customHeight="1" x14ac:dyDescent="0.45">
      <c r="A512" t="s">
        <v>804</v>
      </c>
      <c r="B512" s="2" t="s">
        <v>376</v>
      </c>
      <c r="C512" t="s">
        <v>89</v>
      </c>
      <c r="D512" t="s">
        <v>472</v>
      </c>
      <c r="E512" t="s">
        <v>497</v>
      </c>
      <c r="F512" t="s">
        <v>117</v>
      </c>
      <c r="G512">
        <v>1</v>
      </c>
      <c r="H512" s="3">
        <v>3120</v>
      </c>
      <c r="I512" s="3">
        <v>3120</v>
      </c>
      <c r="J512" t="s">
        <v>76</v>
      </c>
      <c r="K512" t="s">
        <v>83</v>
      </c>
      <c r="L512" s="3">
        <f>SUM(SalesData3[Sales Amount (PKR)])</f>
        <v>11946830</v>
      </c>
    </row>
    <row r="513" spans="1:12" ht="14.25" customHeight="1" x14ac:dyDescent="0.45">
      <c r="A513" t="s">
        <v>805</v>
      </c>
      <c r="B513" s="2" t="s">
        <v>242</v>
      </c>
      <c r="C513" t="s">
        <v>100</v>
      </c>
      <c r="D513" t="s">
        <v>398</v>
      </c>
      <c r="E513" t="s">
        <v>399</v>
      </c>
      <c r="F513" t="s">
        <v>131</v>
      </c>
      <c r="G513">
        <v>1</v>
      </c>
      <c r="H513" s="3">
        <v>3120</v>
      </c>
      <c r="I513" s="3">
        <v>3120</v>
      </c>
      <c r="J513" t="s">
        <v>82</v>
      </c>
      <c r="K513" t="s">
        <v>93</v>
      </c>
      <c r="L513" s="3">
        <f>SUM(SalesData3[Sales Amount (PKR)])</f>
        <v>11946830</v>
      </c>
    </row>
    <row r="514" spans="1:12" ht="14.25" customHeight="1" x14ac:dyDescent="0.45">
      <c r="A514" t="s">
        <v>806</v>
      </c>
      <c r="B514" s="2" t="s">
        <v>352</v>
      </c>
      <c r="C514" t="s">
        <v>96</v>
      </c>
      <c r="D514" t="s">
        <v>472</v>
      </c>
      <c r="E514" t="s">
        <v>497</v>
      </c>
      <c r="F514" t="s">
        <v>117</v>
      </c>
      <c r="G514">
        <v>1</v>
      </c>
      <c r="H514" s="3">
        <v>3120</v>
      </c>
      <c r="I514" s="3">
        <v>3120</v>
      </c>
      <c r="J514" t="s">
        <v>76</v>
      </c>
      <c r="K514" t="s">
        <v>93</v>
      </c>
      <c r="L514" s="3">
        <f>SUM(SalesData3[Sales Amount (PKR)])</f>
        <v>11946830</v>
      </c>
    </row>
    <row r="515" spans="1:12" ht="14.25" customHeight="1" x14ac:dyDescent="0.45">
      <c r="A515" t="s">
        <v>807</v>
      </c>
      <c r="B515" s="2" t="s">
        <v>556</v>
      </c>
      <c r="C515" t="s">
        <v>100</v>
      </c>
      <c r="D515" t="s">
        <v>472</v>
      </c>
      <c r="E515" t="s">
        <v>497</v>
      </c>
      <c r="F515" t="s">
        <v>140</v>
      </c>
      <c r="G515">
        <v>1</v>
      </c>
      <c r="H515" s="3">
        <v>3120</v>
      </c>
      <c r="I515" s="3">
        <v>3120</v>
      </c>
      <c r="J515" t="s">
        <v>82</v>
      </c>
      <c r="K515" t="s">
        <v>77</v>
      </c>
      <c r="L515" s="3">
        <f>SUM(SalesData3[Sales Amount (PKR)])</f>
        <v>11946830</v>
      </c>
    </row>
    <row r="516" spans="1:12" ht="14.25" customHeight="1" x14ac:dyDescent="0.45">
      <c r="A516" t="s">
        <v>808</v>
      </c>
      <c r="B516" s="2" t="s">
        <v>430</v>
      </c>
      <c r="C516" t="s">
        <v>100</v>
      </c>
      <c r="D516" t="s">
        <v>334</v>
      </c>
      <c r="E516" t="s">
        <v>515</v>
      </c>
      <c r="F516" t="s">
        <v>117</v>
      </c>
      <c r="G516">
        <v>2</v>
      </c>
      <c r="H516" s="3">
        <v>1560</v>
      </c>
      <c r="I516" s="3">
        <v>3120</v>
      </c>
      <c r="J516" t="s">
        <v>82</v>
      </c>
      <c r="K516" t="s">
        <v>83</v>
      </c>
      <c r="L516" s="3">
        <f>SUM(SalesData3[Sales Amount (PKR)])</f>
        <v>11946830</v>
      </c>
    </row>
    <row r="517" spans="1:12" ht="14.25" customHeight="1" x14ac:dyDescent="0.45">
      <c r="A517" t="s">
        <v>809</v>
      </c>
      <c r="B517" s="2" t="s">
        <v>401</v>
      </c>
      <c r="C517" t="s">
        <v>100</v>
      </c>
      <c r="D517" t="s">
        <v>472</v>
      </c>
      <c r="E517" t="s">
        <v>500</v>
      </c>
      <c r="F517" t="s">
        <v>131</v>
      </c>
      <c r="G517">
        <v>2</v>
      </c>
      <c r="H517" s="3">
        <v>1550</v>
      </c>
      <c r="I517" s="3">
        <v>3100</v>
      </c>
      <c r="J517" t="s">
        <v>82</v>
      </c>
      <c r="K517" t="s">
        <v>93</v>
      </c>
      <c r="L517" s="3">
        <f>SUM(SalesData3[Sales Amount (PKR)])</f>
        <v>11946830</v>
      </c>
    </row>
    <row r="518" spans="1:12" ht="14.25" customHeight="1" x14ac:dyDescent="0.45">
      <c r="A518" t="s">
        <v>810</v>
      </c>
      <c r="B518" s="2" t="s">
        <v>376</v>
      </c>
      <c r="C518" t="s">
        <v>100</v>
      </c>
      <c r="D518" t="s">
        <v>472</v>
      </c>
      <c r="E518" t="s">
        <v>500</v>
      </c>
      <c r="F518" t="s">
        <v>117</v>
      </c>
      <c r="G518">
        <v>2</v>
      </c>
      <c r="H518" s="3">
        <v>1550</v>
      </c>
      <c r="I518" s="3">
        <v>3100</v>
      </c>
      <c r="J518" t="s">
        <v>82</v>
      </c>
      <c r="K518" t="s">
        <v>83</v>
      </c>
      <c r="L518" s="3">
        <f>SUM(SalesData3[Sales Amount (PKR)])</f>
        <v>11946830</v>
      </c>
    </row>
    <row r="519" spans="1:12" ht="14.25" customHeight="1" x14ac:dyDescent="0.45">
      <c r="A519" t="s">
        <v>811</v>
      </c>
      <c r="B519" s="2" t="s">
        <v>190</v>
      </c>
      <c r="C519" t="s">
        <v>72</v>
      </c>
      <c r="D519" t="s">
        <v>398</v>
      </c>
      <c r="E519" t="s">
        <v>399</v>
      </c>
      <c r="F519" t="s">
        <v>107</v>
      </c>
      <c r="G519">
        <v>1</v>
      </c>
      <c r="H519" s="3">
        <v>3100</v>
      </c>
      <c r="I519" s="3">
        <v>3100</v>
      </c>
      <c r="J519" t="s">
        <v>76</v>
      </c>
      <c r="K519" t="s">
        <v>83</v>
      </c>
      <c r="L519" s="3">
        <f>SUM(SalesData3[Sales Amount (PKR)])</f>
        <v>11946830</v>
      </c>
    </row>
    <row r="520" spans="1:12" ht="14.25" customHeight="1" x14ac:dyDescent="0.45">
      <c r="A520" t="s">
        <v>812</v>
      </c>
      <c r="B520" s="2" t="s">
        <v>169</v>
      </c>
      <c r="C520" t="s">
        <v>96</v>
      </c>
      <c r="D520" t="s">
        <v>398</v>
      </c>
      <c r="E520" t="s">
        <v>399</v>
      </c>
      <c r="F520" t="s">
        <v>123</v>
      </c>
      <c r="G520">
        <v>1</v>
      </c>
      <c r="H520" s="3">
        <v>3090</v>
      </c>
      <c r="I520" s="3">
        <v>3090</v>
      </c>
      <c r="J520" t="s">
        <v>76</v>
      </c>
      <c r="K520" t="s">
        <v>83</v>
      </c>
      <c r="L520" s="3">
        <f>SUM(SalesData3[Sales Amount (PKR)])</f>
        <v>11946830</v>
      </c>
    </row>
    <row r="521" spans="1:12" ht="14.25" customHeight="1" x14ac:dyDescent="0.45">
      <c r="A521" t="s">
        <v>813</v>
      </c>
      <c r="B521" s="2" t="s">
        <v>229</v>
      </c>
      <c r="C521" t="s">
        <v>96</v>
      </c>
      <c r="D521" t="s">
        <v>398</v>
      </c>
      <c r="E521" t="s">
        <v>399</v>
      </c>
      <c r="F521" t="s">
        <v>86</v>
      </c>
      <c r="G521">
        <v>1</v>
      </c>
      <c r="H521" s="3">
        <v>3090</v>
      </c>
      <c r="I521" s="3">
        <v>3090</v>
      </c>
      <c r="J521" t="s">
        <v>76</v>
      </c>
      <c r="K521" t="s">
        <v>77</v>
      </c>
      <c r="L521" s="3">
        <f>SUM(SalesData3[Sales Amount (PKR)])</f>
        <v>11946830</v>
      </c>
    </row>
    <row r="522" spans="1:12" ht="14.25" customHeight="1" x14ac:dyDescent="0.45">
      <c r="A522" t="s">
        <v>814</v>
      </c>
      <c r="B522" s="2" t="s">
        <v>550</v>
      </c>
      <c r="C522" t="s">
        <v>100</v>
      </c>
      <c r="D522" t="s">
        <v>472</v>
      </c>
      <c r="E522" t="s">
        <v>497</v>
      </c>
      <c r="F522" t="s">
        <v>140</v>
      </c>
      <c r="G522">
        <v>1</v>
      </c>
      <c r="H522" s="3">
        <v>3090</v>
      </c>
      <c r="I522" s="3">
        <v>3090</v>
      </c>
      <c r="J522" t="s">
        <v>82</v>
      </c>
      <c r="K522" t="s">
        <v>83</v>
      </c>
      <c r="L522" s="3">
        <f>SUM(SalesData3[Sales Amount (PKR)])</f>
        <v>11946830</v>
      </c>
    </row>
    <row r="523" spans="1:12" ht="14.25" customHeight="1" x14ac:dyDescent="0.45">
      <c r="A523" t="s">
        <v>815</v>
      </c>
      <c r="B523" s="2" t="s">
        <v>305</v>
      </c>
      <c r="C523" t="s">
        <v>89</v>
      </c>
      <c r="D523" t="s">
        <v>398</v>
      </c>
      <c r="E523" t="s">
        <v>399</v>
      </c>
      <c r="F523" t="s">
        <v>117</v>
      </c>
      <c r="G523">
        <v>1</v>
      </c>
      <c r="H523" s="3">
        <v>3090</v>
      </c>
      <c r="I523" s="3">
        <v>3090</v>
      </c>
      <c r="J523" t="s">
        <v>76</v>
      </c>
      <c r="K523" t="s">
        <v>83</v>
      </c>
      <c r="L523" s="3">
        <f>SUM(SalesData3[Sales Amount (PKR)])</f>
        <v>11946830</v>
      </c>
    </row>
    <row r="524" spans="1:12" ht="14.25" customHeight="1" x14ac:dyDescent="0.45">
      <c r="A524" t="s">
        <v>816</v>
      </c>
      <c r="B524" s="2" t="s">
        <v>817</v>
      </c>
      <c r="C524" t="s">
        <v>96</v>
      </c>
      <c r="D524" t="s">
        <v>472</v>
      </c>
      <c r="E524" t="s">
        <v>500</v>
      </c>
      <c r="F524" t="s">
        <v>123</v>
      </c>
      <c r="G524">
        <v>2</v>
      </c>
      <c r="H524" s="3">
        <v>1540</v>
      </c>
      <c r="I524" s="3">
        <v>3080</v>
      </c>
      <c r="J524" t="s">
        <v>76</v>
      </c>
      <c r="K524" t="s">
        <v>83</v>
      </c>
      <c r="L524" s="3">
        <f>SUM(SalesData3[Sales Amount (PKR)])</f>
        <v>11946830</v>
      </c>
    </row>
    <row r="525" spans="1:12" ht="14.25" customHeight="1" x14ac:dyDescent="0.45">
      <c r="A525" t="s">
        <v>818</v>
      </c>
      <c r="B525" s="2" t="s">
        <v>530</v>
      </c>
      <c r="C525" t="s">
        <v>89</v>
      </c>
      <c r="D525" t="s">
        <v>334</v>
      </c>
      <c r="E525" t="s">
        <v>515</v>
      </c>
      <c r="F525" t="s">
        <v>97</v>
      </c>
      <c r="G525">
        <v>2</v>
      </c>
      <c r="H525" s="3">
        <v>1540</v>
      </c>
      <c r="I525" s="3">
        <v>3080</v>
      </c>
      <c r="J525" t="s">
        <v>82</v>
      </c>
      <c r="K525" t="s">
        <v>93</v>
      </c>
      <c r="L525" s="3">
        <f>SUM(SalesData3[Sales Amount (PKR)])</f>
        <v>11946830</v>
      </c>
    </row>
    <row r="526" spans="1:12" ht="14.25" customHeight="1" x14ac:dyDescent="0.45">
      <c r="A526" t="s">
        <v>819</v>
      </c>
      <c r="B526" s="2" t="s">
        <v>225</v>
      </c>
      <c r="C526" t="s">
        <v>96</v>
      </c>
      <c r="D526" t="s">
        <v>472</v>
      </c>
      <c r="E526" t="s">
        <v>497</v>
      </c>
      <c r="F526" t="s">
        <v>123</v>
      </c>
      <c r="G526">
        <v>1</v>
      </c>
      <c r="H526" s="3">
        <v>3080</v>
      </c>
      <c r="I526" s="3">
        <v>3080</v>
      </c>
      <c r="J526" t="s">
        <v>76</v>
      </c>
      <c r="K526" t="s">
        <v>83</v>
      </c>
      <c r="L526" s="3">
        <f>SUM(SalesData3[Sales Amount (PKR)])</f>
        <v>11946830</v>
      </c>
    </row>
    <row r="527" spans="1:12" ht="14.25" customHeight="1" x14ac:dyDescent="0.45">
      <c r="A527" t="s">
        <v>820</v>
      </c>
      <c r="B527" s="2" t="s">
        <v>556</v>
      </c>
      <c r="C527" t="s">
        <v>100</v>
      </c>
      <c r="D527" t="s">
        <v>398</v>
      </c>
      <c r="E527" t="s">
        <v>399</v>
      </c>
      <c r="F527" t="s">
        <v>140</v>
      </c>
      <c r="G527">
        <v>1</v>
      </c>
      <c r="H527" s="3">
        <v>3080</v>
      </c>
      <c r="I527" s="3">
        <v>3080</v>
      </c>
      <c r="J527" t="s">
        <v>76</v>
      </c>
      <c r="K527" t="s">
        <v>83</v>
      </c>
      <c r="L527" s="3">
        <f>SUM(SalesData3[Sales Amount (PKR)])</f>
        <v>11946830</v>
      </c>
    </row>
    <row r="528" spans="1:12" ht="14.25" customHeight="1" x14ac:dyDescent="0.45">
      <c r="A528" t="s">
        <v>821</v>
      </c>
      <c r="B528" s="2" t="s">
        <v>407</v>
      </c>
      <c r="C528" t="s">
        <v>96</v>
      </c>
      <c r="D528" t="s">
        <v>334</v>
      </c>
      <c r="E528" t="s">
        <v>515</v>
      </c>
      <c r="F528" t="s">
        <v>140</v>
      </c>
      <c r="G528">
        <v>2</v>
      </c>
      <c r="H528" s="3">
        <v>1540</v>
      </c>
      <c r="I528" s="3">
        <v>3080</v>
      </c>
      <c r="J528" t="s">
        <v>76</v>
      </c>
      <c r="K528" t="s">
        <v>93</v>
      </c>
      <c r="L528" s="3">
        <f>SUM(SalesData3[Sales Amount (PKR)])</f>
        <v>11946830</v>
      </c>
    </row>
    <row r="529" spans="1:12" ht="14.25" customHeight="1" x14ac:dyDescent="0.45">
      <c r="A529" t="s">
        <v>822</v>
      </c>
      <c r="B529" s="2" t="s">
        <v>617</v>
      </c>
      <c r="C529" t="s">
        <v>89</v>
      </c>
      <c r="D529" t="s">
        <v>334</v>
      </c>
      <c r="E529" t="s">
        <v>515</v>
      </c>
      <c r="F529" t="s">
        <v>117</v>
      </c>
      <c r="G529">
        <v>2</v>
      </c>
      <c r="H529" s="3">
        <v>1540</v>
      </c>
      <c r="I529" s="3">
        <v>3080</v>
      </c>
      <c r="J529" t="s">
        <v>76</v>
      </c>
      <c r="K529" t="s">
        <v>77</v>
      </c>
      <c r="L529" s="3">
        <f>SUM(SalesData3[Sales Amount (PKR)])</f>
        <v>11946830</v>
      </c>
    </row>
    <row r="530" spans="1:12" ht="14.25" customHeight="1" x14ac:dyDescent="0.45">
      <c r="A530" t="s">
        <v>823</v>
      </c>
      <c r="B530" s="2" t="s">
        <v>79</v>
      </c>
      <c r="C530" t="s">
        <v>80</v>
      </c>
      <c r="D530" t="s">
        <v>398</v>
      </c>
      <c r="E530" t="s">
        <v>399</v>
      </c>
      <c r="F530" t="s">
        <v>107</v>
      </c>
      <c r="G530">
        <v>1</v>
      </c>
      <c r="H530" s="3">
        <v>3070</v>
      </c>
      <c r="I530" s="3">
        <v>3070</v>
      </c>
      <c r="J530" t="s">
        <v>76</v>
      </c>
      <c r="K530" t="s">
        <v>83</v>
      </c>
      <c r="L530" s="3">
        <f>SUM(SalesData3[Sales Amount (PKR)])</f>
        <v>11946830</v>
      </c>
    </row>
    <row r="531" spans="1:12" ht="14.25" customHeight="1" x14ac:dyDescent="0.45">
      <c r="A531" t="s">
        <v>824</v>
      </c>
      <c r="B531" s="2" t="s">
        <v>242</v>
      </c>
      <c r="C531" t="s">
        <v>80</v>
      </c>
      <c r="D531" t="s">
        <v>472</v>
      </c>
      <c r="E531" t="s">
        <v>497</v>
      </c>
      <c r="F531" t="s">
        <v>81</v>
      </c>
      <c r="G531">
        <v>1</v>
      </c>
      <c r="H531" s="3">
        <v>3070</v>
      </c>
      <c r="I531" s="3">
        <v>3070</v>
      </c>
      <c r="J531" t="s">
        <v>82</v>
      </c>
      <c r="K531" t="s">
        <v>77</v>
      </c>
      <c r="L531" s="3">
        <f>SUM(SalesData3[Sales Amount (PKR)])</f>
        <v>11946830</v>
      </c>
    </row>
    <row r="532" spans="1:12" ht="14.25" customHeight="1" x14ac:dyDescent="0.45">
      <c r="A532" t="s">
        <v>825</v>
      </c>
      <c r="B532" s="2" t="s">
        <v>127</v>
      </c>
      <c r="C532" t="s">
        <v>89</v>
      </c>
      <c r="D532" t="s">
        <v>472</v>
      </c>
      <c r="E532" t="s">
        <v>497</v>
      </c>
      <c r="F532" t="s">
        <v>86</v>
      </c>
      <c r="G532">
        <v>1</v>
      </c>
      <c r="H532" s="3">
        <v>3070</v>
      </c>
      <c r="I532" s="3">
        <v>3070</v>
      </c>
      <c r="J532" t="s">
        <v>82</v>
      </c>
      <c r="K532" t="s">
        <v>83</v>
      </c>
      <c r="L532" s="3">
        <f>SUM(SalesData3[Sales Amount (PKR)])</f>
        <v>11946830</v>
      </c>
    </row>
    <row r="533" spans="1:12" ht="14.25" customHeight="1" x14ac:dyDescent="0.45">
      <c r="A533" t="s">
        <v>826</v>
      </c>
      <c r="B533" s="2" t="s">
        <v>152</v>
      </c>
      <c r="C533" t="s">
        <v>80</v>
      </c>
      <c r="D533" t="s">
        <v>472</v>
      </c>
      <c r="E533" t="s">
        <v>497</v>
      </c>
      <c r="F533" t="s">
        <v>123</v>
      </c>
      <c r="G533">
        <v>1</v>
      </c>
      <c r="H533" s="3">
        <v>3060</v>
      </c>
      <c r="I533" s="3">
        <v>3060</v>
      </c>
      <c r="J533" t="s">
        <v>76</v>
      </c>
      <c r="K533" t="s">
        <v>83</v>
      </c>
      <c r="L533" s="3">
        <f>SUM(SalesData3[Sales Amount (PKR)])</f>
        <v>11946830</v>
      </c>
    </row>
    <row r="534" spans="1:12" ht="14.25" customHeight="1" x14ac:dyDescent="0.45">
      <c r="A534" t="s">
        <v>827</v>
      </c>
      <c r="B534" s="2" t="s">
        <v>213</v>
      </c>
      <c r="C534" t="s">
        <v>80</v>
      </c>
      <c r="D534" t="s">
        <v>472</v>
      </c>
      <c r="E534" t="s">
        <v>497</v>
      </c>
      <c r="F534" t="s">
        <v>90</v>
      </c>
      <c r="G534">
        <v>1</v>
      </c>
      <c r="H534" s="3">
        <v>3060</v>
      </c>
      <c r="I534" s="3">
        <v>3060</v>
      </c>
      <c r="J534" t="s">
        <v>82</v>
      </c>
      <c r="K534" t="s">
        <v>93</v>
      </c>
      <c r="L534" s="3">
        <f>SUM(SalesData3[Sales Amount (PKR)])</f>
        <v>11946830</v>
      </c>
    </row>
    <row r="535" spans="1:12" ht="14.25" customHeight="1" x14ac:dyDescent="0.45">
      <c r="A535" t="s">
        <v>828</v>
      </c>
      <c r="B535" s="2" t="s">
        <v>160</v>
      </c>
      <c r="C535" t="s">
        <v>89</v>
      </c>
      <c r="D535" t="s">
        <v>472</v>
      </c>
      <c r="E535" t="s">
        <v>497</v>
      </c>
      <c r="F535" t="s">
        <v>123</v>
      </c>
      <c r="G535">
        <v>1</v>
      </c>
      <c r="H535" s="3">
        <v>3050</v>
      </c>
      <c r="I535" s="3">
        <v>3050</v>
      </c>
      <c r="J535" t="s">
        <v>76</v>
      </c>
      <c r="K535" t="s">
        <v>83</v>
      </c>
      <c r="L535" s="3">
        <f>SUM(SalesData3[Sales Amount (PKR)])</f>
        <v>11946830</v>
      </c>
    </row>
    <row r="536" spans="1:12" ht="14.25" customHeight="1" x14ac:dyDescent="0.45">
      <c r="A536" t="s">
        <v>829</v>
      </c>
      <c r="B536" s="2" t="s">
        <v>593</v>
      </c>
      <c r="C536" t="s">
        <v>96</v>
      </c>
      <c r="D536" t="s">
        <v>334</v>
      </c>
      <c r="E536" t="s">
        <v>515</v>
      </c>
      <c r="F536" t="s">
        <v>107</v>
      </c>
      <c r="G536">
        <v>2</v>
      </c>
      <c r="H536" s="3">
        <v>1520</v>
      </c>
      <c r="I536" s="3">
        <v>3040</v>
      </c>
      <c r="J536" t="s">
        <v>82</v>
      </c>
      <c r="K536" t="s">
        <v>83</v>
      </c>
      <c r="L536" s="3">
        <f>SUM(SalesData3[Sales Amount (PKR)])</f>
        <v>11946830</v>
      </c>
    </row>
    <row r="537" spans="1:12" ht="14.25" customHeight="1" x14ac:dyDescent="0.45">
      <c r="A537" t="s">
        <v>830</v>
      </c>
      <c r="B537" s="2" t="s">
        <v>92</v>
      </c>
      <c r="C537" t="s">
        <v>89</v>
      </c>
      <c r="D537" t="s">
        <v>472</v>
      </c>
      <c r="E537" t="s">
        <v>497</v>
      </c>
      <c r="F537" t="s">
        <v>75</v>
      </c>
      <c r="G537">
        <v>1</v>
      </c>
      <c r="H537" s="3">
        <v>3040</v>
      </c>
      <c r="I537" s="3">
        <v>3040</v>
      </c>
      <c r="J537" t="s">
        <v>82</v>
      </c>
      <c r="K537" t="s">
        <v>83</v>
      </c>
      <c r="L537" s="3">
        <f>SUM(SalesData3[Sales Amount (PKR)])</f>
        <v>11946830</v>
      </c>
    </row>
    <row r="538" spans="1:12" ht="14.25" customHeight="1" x14ac:dyDescent="0.45">
      <c r="A538" t="s">
        <v>831</v>
      </c>
      <c r="B538" s="2" t="s">
        <v>376</v>
      </c>
      <c r="C538" t="s">
        <v>80</v>
      </c>
      <c r="D538" t="s">
        <v>472</v>
      </c>
      <c r="E538" t="s">
        <v>497</v>
      </c>
      <c r="F538" t="s">
        <v>86</v>
      </c>
      <c r="G538">
        <v>1</v>
      </c>
      <c r="H538" s="3">
        <v>3040</v>
      </c>
      <c r="I538" s="3">
        <v>3040</v>
      </c>
      <c r="J538" t="s">
        <v>76</v>
      </c>
      <c r="K538" t="s">
        <v>83</v>
      </c>
      <c r="L538" s="3">
        <f>SUM(SalesData3[Sales Amount (PKR)])</f>
        <v>11946830</v>
      </c>
    </row>
    <row r="539" spans="1:12" ht="14.25" customHeight="1" x14ac:dyDescent="0.45">
      <c r="A539" t="s">
        <v>832</v>
      </c>
      <c r="B539" s="2" t="s">
        <v>133</v>
      </c>
      <c r="C539" t="s">
        <v>89</v>
      </c>
      <c r="D539" t="s">
        <v>334</v>
      </c>
      <c r="E539" t="s">
        <v>515</v>
      </c>
      <c r="F539" t="s">
        <v>117</v>
      </c>
      <c r="G539">
        <v>2</v>
      </c>
      <c r="H539" s="3">
        <v>1520</v>
      </c>
      <c r="I539" s="3">
        <v>3040</v>
      </c>
      <c r="J539" t="s">
        <v>82</v>
      </c>
      <c r="K539" t="s">
        <v>93</v>
      </c>
      <c r="L539" s="3">
        <f>SUM(SalesData3[Sales Amount (PKR)])</f>
        <v>11946830</v>
      </c>
    </row>
    <row r="540" spans="1:12" ht="14.25" customHeight="1" x14ac:dyDescent="0.45">
      <c r="A540" t="s">
        <v>833</v>
      </c>
      <c r="B540" s="2" t="s">
        <v>648</v>
      </c>
      <c r="C540" t="s">
        <v>96</v>
      </c>
      <c r="D540" t="s">
        <v>472</v>
      </c>
      <c r="E540" t="s">
        <v>497</v>
      </c>
      <c r="F540" t="s">
        <v>90</v>
      </c>
      <c r="G540">
        <v>1</v>
      </c>
      <c r="H540" s="3">
        <v>3020</v>
      </c>
      <c r="I540" s="3">
        <v>3020</v>
      </c>
      <c r="J540" t="s">
        <v>82</v>
      </c>
      <c r="K540" t="s">
        <v>83</v>
      </c>
      <c r="L540" s="3">
        <f>SUM(SalesData3[Sales Amount (PKR)])</f>
        <v>11946830</v>
      </c>
    </row>
    <row r="541" spans="1:12" ht="14.25" customHeight="1" x14ac:dyDescent="0.45">
      <c r="A541" t="s">
        <v>834</v>
      </c>
      <c r="B541" s="2" t="s">
        <v>295</v>
      </c>
      <c r="C541" t="s">
        <v>72</v>
      </c>
      <c r="D541" t="s">
        <v>472</v>
      </c>
      <c r="E541" t="s">
        <v>497</v>
      </c>
      <c r="F541" t="s">
        <v>81</v>
      </c>
      <c r="G541">
        <v>1</v>
      </c>
      <c r="H541" s="3">
        <v>3010</v>
      </c>
      <c r="I541" s="3">
        <v>3010</v>
      </c>
      <c r="J541" t="s">
        <v>76</v>
      </c>
      <c r="K541" t="s">
        <v>77</v>
      </c>
      <c r="L541" s="3">
        <f>SUM(SalesData3[Sales Amount (PKR)])</f>
        <v>11946830</v>
      </c>
    </row>
    <row r="542" spans="1:12" ht="14.25" customHeight="1" x14ac:dyDescent="0.45">
      <c r="A542" t="s">
        <v>835</v>
      </c>
      <c r="B542" s="2" t="s">
        <v>122</v>
      </c>
      <c r="C542" t="s">
        <v>100</v>
      </c>
      <c r="D542" t="s">
        <v>472</v>
      </c>
      <c r="E542" t="s">
        <v>497</v>
      </c>
      <c r="F542" t="s">
        <v>140</v>
      </c>
      <c r="G542">
        <v>1</v>
      </c>
      <c r="H542" s="3">
        <v>3000</v>
      </c>
      <c r="I542" s="3">
        <v>3000</v>
      </c>
      <c r="J542" t="s">
        <v>76</v>
      </c>
      <c r="K542" t="s">
        <v>83</v>
      </c>
      <c r="L542" s="3">
        <f>SUM(SalesData3[Sales Amount (PKR)])</f>
        <v>11946830</v>
      </c>
    </row>
    <row r="543" spans="1:12" ht="14.25" customHeight="1" x14ac:dyDescent="0.45">
      <c r="A543" t="s">
        <v>836</v>
      </c>
      <c r="B543" s="2" t="s">
        <v>453</v>
      </c>
      <c r="C543" t="s">
        <v>96</v>
      </c>
      <c r="D543" t="s">
        <v>334</v>
      </c>
      <c r="E543" t="s">
        <v>515</v>
      </c>
      <c r="F543" t="s">
        <v>131</v>
      </c>
      <c r="G543">
        <v>2</v>
      </c>
      <c r="H543" s="3">
        <v>1490</v>
      </c>
      <c r="I543" s="3">
        <v>2980</v>
      </c>
      <c r="J543" t="s">
        <v>76</v>
      </c>
      <c r="K543" t="s">
        <v>83</v>
      </c>
      <c r="L543" s="3">
        <f>SUM(SalesData3[Sales Amount (PKR)])</f>
        <v>11946830</v>
      </c>
    </row>
    <row r="544" spans="1:12" ht="14.25" customHeight="1" x14ac:dyDescent="0.45">
      <c r="A544" t="s">
        <v>837</v>
      </c>
      <c r="B544" s="2" t="s">
        <v>658</v>
      </c>
      <c r="C544" t="s">
        <v>89</v>
      </c>
      <c r="D544" t="s">
        <v>334</v>
      </c>
      <c r="E544" t="s">
        <v>515</v>
      </c>
      <c r="F544" t="s">
        <v>97</v>
      </c>
      <c r="G544">
        <v>2</v>
      </c>
      <c r="H544" s="3">
        <v>1490</v>
      </c>
      <c r="I544" s="3">
        <v>2980</v>
      </c>
      <c r="J544" t="s">
        <v>82</v>
      </c>
      <c r="K544" t="s">
        <v>83</v>
      </c>
      <c r="L544" s="3">
        <f>SUM(SalesData3[Sales Amount (PKR)])</f>
        <v>11946830</v>
      </c>
    </row>
    <row r="545" spans="1:12" ht="14.25" customHeight="1" x14ac:dyDescent="0.45">
      <c r="A545" t="s">
        <v>838</v>
      </c>
      <c r="B545" s="2" t="s">
        <v>264</v>
      </c>
      <c r="C545" t="s">
        <v>100</v>
      </c>
      <c r="D545" t="s">
        <v>472</v>
      </c>
      <c r="E545" t="s">
        <v>497</v>
      </c>
      <c r="F545" t="s">
        <v>107</v>
      </c>
      <c r="G545">
        <v>1</v>
      </c>
      <c r="H545" s="3">
        <v>2980</v>
      </c>
      <c r="I545" s="3">
        <v>2980</v>
      </c>
      <c r="J545" t="s">
        <v>76</v>
      </c>
      <c r="K545" t="s">
        <v>77</v>
      </c>
      <c r="L545" s="3">
        <f>SUM(SalesData3[Sales Amount (PKR)])</f>
        <v>11946830</v>
      </c>
    </row>
    <row r="546" spans="1:12" ht="14.25" customHeight="1" x14ac:dyDescent="0.45">
      <c r="A546" t="s">
        <v>839</v>
      </c>
      <c r="B546" s="2" t="s">
        <v>715</v>
      </c>
      <c r="C546" t="s">
        <v>89</v>
      </c>
      <c r="D546" t="s">
        <v>472</v>
      </c>
      <c r="E546" t="s">
        <v>691</v>
      </c>
      <c r="F546" t="s">
        <v>86</v>
      </c>
      <c r="G546">
        <v>3</v>
      </c>
      <c r="H546" s="3">
        <v>980</v>
      </c>
      <c r="I546" s="3">
        <v>2940</v>
      </c>
      <c r="J546" t="s">
        <v>76</v>
      </c>
      <c r="K546" t="s">
        <v>77</v>
      </c>
      <c r="L546" s="3">
        <f>SUM(SalesData3[Sales Amount (PKR)])</f>
        <v>11946830</v>
      </c>
    </row>
    <row r="547" spans="1:12" ht="14.25" customHeight="1" x14ac:dyDescent="0.45">
      <c r="A547" t="s">
        <v>840</v>
      </c>
      <c r="B547" s="2" t="s">
        <v>627</v>
      </c>
      <c r="C547" t="s">
        <v>96</v>
      </c>
      <c r="D547" t="s">
        <v>334</v>
      </c>
      <c r="E547" t="s">
        <v>515</v>
      </c>
      <c r="F547" t="s">
        <v>81</v>
      </c>
      <c r="G547">
        <v>2</v>
      </c>
      <c r="H547" s="3">
        <v>1450</v>
      </c>
      <c r="I547" s="3">
        <v>2900</v>
      </c>
      <c r="J547" t="s">
        <v>82</v>
      </c>
      <c r="K547" t="s">
        <v>83</v>
      </c>
      <c r="L547" s="3">
        <f>SUM(SalesData3[Sales Amount (PKR)])</f>
        <v>11946830</v>
      </c>
    </row>
    <row r="548" spans="1:12" ht="14.25" customHeight="1" x14ac:dyDescent="0.45">
      <c r="A548" t="s">
        <v>841</v>
      </c>
      <c r="B548" s="2" t="s">
        <v>350</v>
      </c>
      <c r="C548" t="s">
        <v>96</v>
      </c>
      <c r="D548" t="s">
        <v>73</v>
      </c>
      <c r="E548" t="s">
        <v>441</v>
      </c>
      <c r="F548" t="s">
        <v>75</v>
      </c>
      <c r="G548">
        <v>1</v>
      </c>
      <c r="H548" s="3">
        <v>2900</v>
      </c>
      <c r="I548" s="3">
        <v>2900</v>
      </c>
      <c r="J548" t="s">
        <v>82</v>
      </c>
      <c r="K548" t="s">
        <v>77</v>
      </c>
      <c r="L548" s="3">
        <f>SUM(SalesData3[Sales Amount (PKR)])</f>
        <v>11946830</v>
      </c>
    </row>
    <row r="549" spans="1:12" ht="14.25" customHeight="1" x14ac:dyDescent="0.45">
      <c r="A549" t="s">
        <v>842</v>
      </c>
      <c r="B549" s="2" t="s">
        <v>843</v>
      </c>
      <c r="C549" t="s">
        <v>100</v>
      </c>
      <c r="D549" t="s">
        <v>73</v>
      </c>
      <c r="E549" t="s">
        <v>441</v>
      </c>
      <c r="F549" t="s">
        <v>81</v>
      </c>
      <c r="G549">
        <v>1</v>
      </c>
      <c r="H549" s="3">
        <v>2880</v>
      </c>
      <c r="I549" s="3">
        <v>2880</v>
      </c>
      <c r="J549" t="s">
        <v>76</v>
      </c>
      <c r="K549" t="s">
        <v>93</v>
      </c>
      <c r="L549" s="3">
        <f>SUM(SalesData3[Sales Amount (PKR)])</f>
        <v>11946830</v>
      </c>
    </row>
    <row r="550" spans="1:12" ht="14.25" customHeight="1" x14ac:dyDescent="0.45">
      <c r="A550" t="s">
        <v>844</v>
      </c>
      <c r="B550" s="2" t="s">
        <v>244</v>
      </c>
      <c r="C550" t="s">
        <v>80</v>
      </c>
      <c r="D550" t="s">
        <v>334</v>
      </c>
      <c r="E550" t="s">
        <v>515</v>
      </c>
      <c r="F550" t="s">
        <v>86</v>
      </c>
      <c r="G550">
        <v>2</v>
      </c>
      <c r="H550" s="3">
        <v>1440</v>
      </c>
      <c r="I550" s="3">
        <v>2880</v>
      </c>
      <c r="J550" t="s">
        <v>76</v>
      </c>
      <c r="K550" t="s">
        <v>93</v>
      </c>
      <c r="L550" s="3">
        <f>SUM(SalesData3[Sales Amount (PKR)])</f>
        <v>11946830</v>
      </c>
    </row>
    <row r="551" spans="1:12" ht="14.25" customHeight="1" x14ac:dyDescent="0.45">
      <c r="A551" t="s">
        <v>845</v>
      </c>
      <c r="B551" s="2" t="s">
        <v>237</v>
      </c>
      <c r="C551" t="s">
        <v>100</v>
      </c>
      <c r="D551" t="s">
        <v>73</v>
      </c>
      <c r="E551" t="s">
        <v>441</v>
      </c>
      <c r="F551" t="s">
        <v>75</v>
      </c>
      <c r="G551">
        <v>1</v>
      </c>
      <c r="H551" s="3">
        <v>2870</v>
      </c>
      <c r="I551" s="3">
        <v>2870</v>
      </c>
      <c r="J551" t="s">
        <v>76</v>
      </c>
      <c r="K551" t="s">
        <v>77</v>
      </c>
      <c r="L551" s="3">
        <f>SUM(SalesData3[Sales Amount (PKR)])</f>
        <v>11946830</v>
      </c>
    </row>
    <row r="552" spans="1:12" ht="14.25" customHeight="1" x14ac:dyDescent="0.45">
      <c r="A552" t="s">
        <v>846</v>
      </c>
      <c r="B552" s="2" t="s">
        <v>99</v>
      </c>
      <c r="C552" t="s">
        <v>100</v>
      </c>
      <c r="D552" t="s">
        <v>73</v>
      </c>
      <c r="E552" t="s">
        <v>441</v>
      </c>
      <c r="F552" t="s">
        <v>123</v>
      </c>
      <c r="G552">
        <v>1</v>
      </c>
      <c r="H552" s="3">
        <v>2850</v>
      </c>
      <c r="I552" s="3">
        <v>2850</v>
      </c>
      <c r="J552" t="s">
        <v>76</v>
      </c>
      <c r="K552" t="s">
        <v>93</v>
      </c>
      <c r="L552" s="3">
        <f>SUM(SalesData3[Sales Amount (PKR)])</f>
        <v>11946830</v>
      </c>
    </row>
    <row r="553" spans="1:12" ht="14.25" customHeight="1" x14ac:dyDescent="0.45">
      <c r="A553" t="s">
        <v>847</v>
      </c>
      <c r="B553" s="2" t="s">
        <v>88</v>
      </c>
      <c r="C553" t="s">
        <v>96</v>
      </c>
      <c r="D553" t="s">
        <v>73</v>
      </c>
      <c r="E553" t="s">
        <v>441</v>
      </c>
      <c r="F553" t="s">
        <v>117</v>
      </c>
      <c r="G553">
        <v>1</v>
      </c>
      <c r="H553" s="3">
        <v>2840</v>
      </c>
      <c r="I553" s="3">
        <v>2840</v>
      </c>
      <c r="J553" t="s">
        <v>82</v>
      </c>
      <c r="K553" t="s">
        <v>93</v>
      </c>
      <c r="L553" s="3">
        <f>SUM(SalesData3[Sales Amount (PKR)])</f>
        <v>11946830</v>
      </c>
    </row>
    <row r="554" spans="1:12" ht="14.25" customHeight="1" x14ac:dyDescent="0.45">
      <c r="A554" t="s">
        <v>848</v>
      </c>
      <c r="B554" s="2" t="s">
        <v>221</v>
      </c>
      <c r="C554" t="s">
        <v>100</v>
      </c>
      <c r="D554" t="s">
        <v>73</v>
      </c>
      <c r="E554" t="s">
        <v>441</v>
      </c>
      <c r="F554" t="s">
        <v>117</v>
      </c>
      <c r="G554">
        <v>1</v>
      </c>
      <c r="H554" s="3">
        <v>2840</v>
      </c>
      <c r="I554" s="3">
        <v>2840</v>
      </c>
      <c r="J554" t="s">
        <v>76</v>
      </c>
      <c r="K554" t="s">
        <v>93</v>
      </c>
      <c r="L554" s="3">
        <f>SUM(SalesData3[Sales Amount (PKR)])</f>
        <v>11946830</v>
      </c>
    </row>
    <row r="555" spans="1:12" ht="14.25" customHeight="1" x14ac:dyDescent="0.45">
      <c r="A555" t="s">
        <v>849</v>
      </c>
      <c r="B555" s="2" t="s">
        <v>648</v>
      </c>
      <c r="C555" t="s">
        <v>72</v>
      </c>
      <c r="D555" t="s">
        <v>73</v>
      </c>
      <c r="E555" t="s">
        <v>441</v>
      </c>
      <c r="F555" t="s">
        <v>123</v>
      </c>
      <c r="G555">
        <v>1</v>
      </c>
      <c r="H555" s="3">
        <v>2830</v>
      </c>
      <c r="I555" s="3">
        <v>2830</v>
      </c>
      <c r="J555" t="s">
        <v>76</v>
      </c>
      <c r="K555" t="s">
        <v>93</v>
      </c>
      <c r="L555" s="3">
        <f>SUM(SalesData3[Sales Amount (PKR)])</f>
        <v>11946830</v>
      </c>
    </row>
    <row r="556" spans="1:12" ht="14.25" customHeight="1" x14ac:dyDescent="0.45">
      <c r="A556" t="s">
        <v>850</v>
      </c>
      <c r="B556" s="2" t="s">
        <v>237</v>
      </c>
      <c r="C556" t="s">
        <v>72</v>
      </c>
      <c r="D556" t="s">
        <v>73</v>
      </c>
      <c r="E556" t="s">
        <v>441</v>
      </c>
      <c r="F556" t="s">
        <v>123</v>
      </c>
      <c r="G556">
        <v>1</v>
      </c>
      <c r="H556" s="3">
        <v>2830</v>
      </c>
      <c r="I556" s="3">
        <v>2830</v>
      </c>
      <c r="J556" t="s">
        <v>76</v>
      </c>
      <c r="K556" t="s">
        <v>83</v>
      </c>
      <c r="L556" s="3">
        <f>SUM(SalesData3[Sales Amount (PKR)])</f>
        <v>11946830</v>
      </c>
    </row>
    <row r="557" spans="1:12" ht="14.25" customHeight="1" x14ac:dyDescent="0.45">
      <c r="A557" t="s">
        <v>851</v>
      </c>
      <c r="B557" s="2" t="s">
        <v>537</v>
      </c>
      <c r="C557" t="s">
        <v>96</v>
      </c>
      <c r="D557" t="s">
        <v>73</v>
      </c>
      <c r="E557" t="s">
        <v>441</v>
      </c>
      <c r="F557" t="s">
        <v>140</v>
      </c>
      <c r="G557">
        <v>1</v>
      </c>
      <c r="H557" s="3">
        <v>2830</v>
      </c>
      <c r="I557" s="3">
        <v>2830</v>
      </c>
      <c r="J557" t="s">
        <v>76</v>
      </c>
      <c r="K557" t="s">
        <v>83</v>
      </c>
      <c r="L557" s="3">
        <f>SUM(SalesData3[Sales Amount (PKR)])</f>
        <v>11946830</v>
      </c>
    </row>
    <row r="558" spans="1:12" ht="14.25" customHeight="1" x14ac:dyDescent="0.45">
      <c r="A558" t="s">
        <v>852</v>
      </c>
      <c r="B558" s="2" t="s">
        <v>271</v>
      </c>
      <c r="C558" t="s">
        <v>89</v>
      </c>
      <c r="D558" t="s">
        <v>73</v>
      </c>
      <c r="E558" t="s">
        <v>441</v>
      </c>
      <c r="F558" t="s">
        <v>123</v>
      </c>
      <c r="G558">
        <v>1</v>
      </c>
      <c r="H558" s="3">
        <v>2810</v>
      </c>
      <c r="I558" s="3">
        <v>2810</v>
      </c>
      <c r="J558" t="s">
        <v>82</v>
      </c>
      <c r="K558" t="s">
        <v>77</v>
      </c>
      <c r="L558" s="3">
        <f>SUM(SalesData3[Sales Amount (PKR)])</f>
        <v>11946830</v>
      </c>
    </row>
    <row r="559" spans="1:12" ht="14.25" customHeight="1" x14ac:dyDescent="0.45">
      <c r="A559" t="s">
        <v>853</v>
      </c>
      <c r="B559" s="2" t="s">
        <v>646</v>
      </c>
      <c r="C559" t="s">
        <v>72</v>
      </c>
      <c r="D559" t="s">
        <v>73</v>
      </c>
      <c r="E559" t="s">
        <v>441</v>
      </c>
      <c r="F559" t="s">
        <v>81</v>
      </c>
      <c r="G559">
        <v>1</v>
      </c>
      <c r="H559" s="3">
        <v>2800</v>
      </c>
      <c r="I559" s="3">
        <v>2800</v>
      </c>
      <c r="J559" t="s">
        <v>76</v>
      </c>
      <c r="K559" t="s">
        <v>83</v>
      </c>
      <c r="L559" s="3">
        <f>SUM(SalesData3[Sales Amount (PKR)])</f>
        <v>11946830</v>
      </c>
    </row>
    <row r="560" spans="1:12" ht="14.25" customHeight="1" x14ac:dyDescent="0.45">
      <c r="A560" t="s">
        <v>854</v>
      </c>
      <c r="B560" s="2" t="s">
        <v>307</v>
      </c>
      <c r="C560" t="s">
        <v>80</v>
      </c>
      <c r="D560" t="s">
        <v>472</v>
      </c>
      <c r="E560" t="s">
        <v>691</v>
      </c>
      <c r="F560" t="s">
        <v>90</v>
      </c>
      <c r="G560">
        <v>3</v>
      </c>
      <c r="H560" s="3">
        <v>930</v>
      </c>
      <c r="I560" s="3">
        <v>2790</v>
      </c>
      <c r="J560" t="s">
        <v>76</v>
      </c>
      <c r="K560" t="s">
        <v>83</v>
      </c>
      <c r="L560" s="3">
        <f>SUM(SalesData3[Sales Amount (PKR)])</f>
        <v>11946830</v>
      </c>
    </row>
    <row r="561" spans="1:12" ht="14.25" customHeight="1" x14ac:dyDescent="0.45">
      <c r="A561" t="s">
        <v>855</v>
      </c>
      <c r="B561" s="2" t="s">
        <v>225</v>
      </c>
      <c r="C561" t="s">
        <v>89</v>
      </c>
      <c r="D561" t="s">
        <v>73</v>
      </c>
      <c r="E561" t="s">
        <v>441</v>
      </c>
      <c r="F561" t="s">
        <v>90</v>
      </c>
      <c r="G561">
        <v>1</v>
      </c>
      <c r="H561" s="3">
        <v>2790</v>
      </c>
      <c r="I561" s="3">
        <v>2790</v>
      </c>
      <c r="J561" t="s">
        <v>82</v>
      </c>
      <c r="K561" t="s">
        <v>77</v>
      </c>
      <c r="L561" s="3">
        <f>SUM(SalesData3[Sales Amount (PKR)])</f>
        <v>11946830</v>
      </c>
    </row>
    <row r="562" spans="1:12" ht="14.25" customHeight="1" x14ac:dyDescent="0.45">
      <c r="A562" t="s">
        <v>856</v>
      </c>
      <c r="B562" s="2" t="s">
        <v>607</v>
      </c>
      <c r="C562" t="s">
        <v>80</v>
      </c>
      <c r="D562" t="s">
        <v>73</v>
      </c>
      <c r="E562" t="s">
        <v>441</v>
      </c>
      <c r="F562" t="s">
        <v>123</v>
      </c>
      <c r="G562">
        <v>1</v>
      </c>
      <c r="H562" s="3">
        <v>2780</v>
      </c>
      <c r="I562" s="3">
        <v>2780</v>
      </c>
      <c r="J562" t="s">
        <v>82</v>
      </c>
      <c r="K562" t="s">
        <v>77</v>
      </c>
      <c r="L562" s="3">
        <f>SUM(SalesData3[Sales Amount (PKR)])</f>
        <v>11946830</v>
      </c>
    </row>
    <row r="563" spans="1:12" ht="14.25" customHeight="1" x14ac:dyDescent="0.45">
      <c r="A563" t="s">
        <v>857</v>
      </c>
      <c r="B563" s="2" t="s">
        <v>617</v>
      </c>
      <c r="C563" t="s">
        <v>89</v>
      </c>
      <c r="D563" t="s">
        <v>73</v>
      </c>
      <c r="E563" t="s">
        <v>441</v>
      </c>
      <c r="F563" t="s">
        <v>75</v>
      </c>
      <c r="G563">
        <v>1</v>
      </c>
      <c r="H563" s="3">
        <v>2770</v>
      </c>
      <c r="I563" s="3">
        <v>2770</v>
      </c>
      <c r="J563" t="s">
        <v>76</v>
      </c>
      <c r="K563" t="s">
        <v>77</v>
      </c>
      <c r="L563" s="3">
        <f>SUM(SalesData3[Sales Amount (PKR)])</f>
        <v>11946830</v>
      </c>
    </row>
    <row r="564" spans="1:12" ht="14.25" customHeight="1" x14ac:dyDescent="0.45">
      <c r="A564" t="s">
        <v>858</v>
      </c>
      <c r="B564" s="2" t="s">
        <v>369</v>
      </c>
      <c r="C564" t="s">
        <v>89</v>
      </c>
      <c r="D564" t="s">
        <v>73</v>
      </c>
      <c r="E564" t="s">
        <v>441</v>
      </c>
      <c r="F564" t="s">
        <v>75</v>
      </c>
      <c r="G564">
        <v>1</v>
      </c>
      <c r="H564" s="3">
        <v>2770</v>
      </c>
      <c r="I564" s="3">
        <v>2770</v>
      </c>
      <c r="J564" t="s">
        <v>76</v>
      </c>
      <c r="K564" t="s">
        <v>83</v>
      </c>
      <c r="L564" s="3">
        <f>SUM(SalesData3[Sales Amount (PKR)])</f>
        <v>11946830</v>
      </c>
    </row>
    <row r="565" spans="1:12" ht="14.25" customHeight="1" x14ac:dyDescent="0.45">
      <c r="A565" t="s">
        <v>859</v>
      </c>
      <c r="B565" s="2" t="s">
        <v>281</v>
      </c>
      <c r="C565" t="s">
        <v>96</v>
      </c>
      <c r="D565" t="s">
        <v>73</v>
      </c>
      <c r="E565" t="s">
        <v>441</v>
      </c>
      <c r="F565" t="s">
        <v>75</v>
      </c>
      <c r="G565">
        <v>1</v>
      </c>
      <c r="H565" s="3">
        <v>2760</v>
      </c>
      <c r="I565" s="3">
        <v>2760</v>
      </c>
      <c r="J565" t="s">
        <v>76</v>
      </c>
      <c r="K565" t="s">
        <v>77</v>
      </c>
      <c r="L565" s="3">
        <f>SUM(SalesData3[Sales Amount (PKR)])</f>
        <v>11946830</v>
      </c>
    </row>
    <row r="566" spans="1:12" ht="14.25" customHeight="1" x14ac:dyDescent="0.45">
      <c r="A566" t="s">
        <v>860</v>
      </c>
      <c r="B566" s="2" t="s">
        <v>489</v>
      </c>
      <c r="C566" t="s">
        <v>96</v>
      </c>
      <c r="D566" t="s">
        <v>73</v>
      </c>
      <c r="E566" t="s">
        <v>441</v>
      </c>
      <c r="F566" t="s">
        <v>75</v>
      </c>
      <c r="G566">
        <v>1</v>
      </c>
      <c r="H566" s="3">
        <v>2740</v>
      </c>
      <c r="I566" s="3">
        <v>2740</v>
      </c>
      <c r="J566" t="s">
        <v>76</v>
      </c>
      <c r="K566" t="s">
        <v>83</v>
      </c>
      <c r="L566" s="3">
        <f>SUM(SalesData3[Sales Amount (PKR)])</f>
        <v>11946830</v>
      </c>
    </row>
    <row r="567" spans="1:12" ht="14.25" customHeight="1" x14ac:dyDescent="0.45">
      <c r="A567" t="s">
        <v>861</v>
      </c>
      <c r="B567" s="2" t="s">
        <v>337</v>
      </c>
      <c r="C567" t="s">
        <v>96</v>
      </c>
      <c r="D567" t="s">
        <v>73</v>
      </c>
      <c r="E567" t="s">
        <v>441</v>
      </c>
      <c r="F567" t="s">
        <v>140</v>
      </c>
      <c r="G567">
        <v>1</v>
      </c>
      <c r="H567" s="3">
        <v>2730</v>
      </c>
      <c r="I567" s="3">
        <v>2730</v>
      </c>
      <c r="J567" t="s">
        <v>82</v>
      </c>
      <c r="K567" t="s">
        <v>83</v>
      </c>
      <c r="L567" s="3">
        <f>SUM(SalesData3[Sales Amount (PKR)])</f>
        <v>11946830</v>
      </c>
    </row>
    <row r="568" spans="1:12" ht="14.25" customHeight="1" x14ac:dyDescent="0.45">
      <c r="A568" t="s">
        <v>862</v>
      </c>
      <c r="B568" s="2" t="s">
        <v>192</v>
      </c>
      <c r="C568" t="s">
        <v>89</v>
      </c>
      <c r="D568" t="s">
        <v>73</v>
      </c>
      <c r="E568" t="s">
        <v>441</v>
      </c>
      <c r="F568" t="s">
        <v>90</v>
      </c>
      <c r="G568">
        <v>1</v>
      </c>
      <c r="H568" s="3">
        <v>2710</v>
      </c>
      <c r="I568" s="3">
        <v>2710</v>
      </c>
      <c r="J568" t="s">
        <v>76</v>
      </c>
      <c r="K568" t="s">
        <v>83</v>
      </c>
      <c r="L568" s="3">
        <f>SUM(SalesData3[Sales Amount (PKR)])</f>
        <v>11946830</v>
      </c>
    </row>
    <row r="569" spans="1:12" ht="14.25" customHeight="1" x14ac:dyDescent="0.45">
      <c r="A569" t="s">
        <v>863</v>
      </c>
      <c r="B569" s="2" t="s">
        <v>88</v>
      </c>
      <c r="C569" t="s">
        <v>72</v>
      </c>
      <c r="D569" t="s">
        <v>398</v>
      </c>
      <c r="E569" t="s">
        <v>464</v>
      </c>
      <c r="F569" t="s">
        <v>140</v>
      </c>
      <c r="G569">
        <v>1</v>
      </c>
      <c r="H569" s="3">
        <v>2700</v>
      </c>
      <c r="I569" s="3">
        <v>2700</v>
      </c>
      <c r="J569" t="s">
        <v>82</v>
      </c>
      <c r="K569" t="s">
        <v>93</v>
      </c>
      <c r="L569" s="3">
        <f>SUM(SalesData3[Sales Amount (PKR)])</f>
        <v>11946830</v>
      </c>
    </row>
    <row r="570" spans="1:12" ht="14.25" customHeight="1" x14ac:dyDescent="0.45">
      <c r="A570" t="s">
        <v>864</v>
      </c>
      <c r="B570" s="2" t="s">
        <v>192</v>
      </c>
      <c r="C570" t="s">
        <v>72</v>
      </c>
      <c r="D570" t="s">
        <v>398</v>
      </c>
      <c r="E570" t="s">
        <v>464</v>
      </c>
      <c r="F570" t="s">
        <v>117</v>
      </c>
      <c r="G570">
        <v>1</v>
      </c>
      <c r="H570" s="3">
        <v>2690</v>
      </c>
      <c r="I570" s="3">
        <v>2690</v>
      </c>
      <c r="J570" t="s">
        <v>76</v>
      </c>
      <c r="K570" t="s">
        <v>77</v>
      </c>
      <c r="L570" s="3">
        <f>SUM(SalesData3[Sales Amount (PKR)])</f>
        <v>11946830</v>
      </c>
    </row>
    <row r="571" spans="1:12" ht="14.25" customHeight="1" x14ac:dyDescent="0.45">
      <c r="A571" t="s">
        <v>865</v>
      </c>
      <c r="B571" s="2" t="s">
        <v>298</v>
      </c>
      <c r="C571" t="s">
        <v>89</v>
      </c>
      <c r="D571" t="s">
        <v>398</v>
      </c>
      <c r="E571" t="s">
        <v>464</v>
      </c>
      <c r="F571" t="s">
        <v>123</v>
      </c>
      <c r="G571">
        <v>1</v>
      </c>
      <c r="H571" s="3">
        <v>2690</v>
      </c>
      <c r="I571" s="3">
        <v>2690</v>
      </c>
      <c r="J571" t="s">
        <v>82</v>
      </c>
      <c r="K571" t="s">
        <v>93</v>
      </c>
      <c r="L571" s="3">
        <f>SUM(SalesData3[Sales Amount (PKR)])</f>
        <v>11946830</v>
      </c>
    </row>
    <row r="572" spans="1:12" ht="14.25" customHeight="1" x14ac:dyDescent="0.45">
      <c r="A572" t="s">
        <v>866</v>
      </c>
      <c r="B572" s="2" t="s">
        <v>119</v>
      </c>
      <c r="C572" t="s">
        <v>96</v>
      </c>
      <c r="D572" t="s">
        <v>398</v>
      </c>
      <c r="E572" t="s">
        <v>464</v>
      </c>
      <c r="F572" t="s">
        <v>107</v>
      </c>
      <c r="G572">
        <v>1</v>
      </c>
      <c r="H572" s="3">
        <v>2670</v>
      </c>
      <c r="I572" s="3">
        <v>2670</v>
      </c>
      <c r="J572" t="s">
        <v>76</v>
      </c>
      <c r="K572" t="s">
        <v>83</v>
      </c>
      <c r="L572" s="3">
        <f>SUM(SalesData3[Sales Amount (PKR)])</f>
        <v>11946830</v>
      </c>
    </row>
    <row r="573" spans="1:12" ht="14.25" customHeight="1" x14ac:dyDescent="0.45">
      <c r="A573" t="s">
        <v>867</v>
      </c>
      <c r="B573" s="2" t="s">
        <v>79</v>
      </c>
      <c r="C573" t="s">
        <v>72</v>
      </c>
      <c r="D573" t="s">
        <v>398</v>
      </c>
      <c r="E573" t="s">
        <v>464</v>
      </c>
      <c r="F573" t="s">
        <v>107</v>
      </c>
      <c r="G573">
        <v>1</v>
      </c>
      <c r="H573" s="3">
        <v>2650</v>
      </c>
      <c r="I573" s="3">
        <v>2650</v>
      </c>
      <c r="J573" t="s">
        <v>82</v>
      </c>
      <c r="K573" t="s">
        <v>77</v>
      </c>
      <c r="L573" s="3">
        <f>SUM(SalesData3[Sales Amount (PKR)])</f>
        <v>11946830</v>
      </c>
    </row>
    <row r="574" spans="1:12" ht="14.25" customHeight="1" x14ac:dyDescent="0.45">
      <c r="A574" t="s">
        <v>868</v>
      </c>
      <c r="B574" s="2" t="s">
        <v>869</v>
      </c>
      <c r="C574" t="s">
        <v>89</v>
      </c>
      <c r="D574" t="s">
        <v>398</v>
      </c>
      <c r="E574" t="s">
        <v>464</v>
      </c>
      <c r="F574" t="s">
        <v>117</v>
      </c>
      <c r="G574">
        <v>1</v>
      </c>
      <c r="H574" s="3">
        <v>2650</v>
      </c>
      <c r="I574" s="3">
        <v>2650</v>
      </c>
      <c r="J574" t="s">
        <v>82</v>
      </c>
      <c r="K574" t="s">
        <v>93</v>
      </c>
      <c r="L574" s="3">
        <f>SUM(SalesData3[Sales Amount (PKR)])</f>
        <v>11946830</v>
      </c>
    </row>
    <row r="575" spans="1:12" ht="14.25" customHeight="1" x14ac:dyDescent="0.45">
      <c r="A575" t="s">
        <v>870</v>
      </c>
      <c r="B575" s="2" t="s">
        <v>92</v>
      </c>
      <c r="C575" t="s">
        <v>96</v>
      </c>
      <c r="D575" t="s">
        <v>398</v>
      </c>
      <c r="E575" t="s">
        <v>464</v>
      </c>
      <c r="F575" t="s">
        <v>75</v>
      </c>
      <c r="G575">
        <v>1</v>
      </c>
      <c r="H575" s="3">
        <v>2650</v>
      </c>
      <c r="I575" s="3">
        <v>2650</v>
      </c>
      <c r="J575" t="s">
        <v>82</v>
      </c>
      <c r="K575" t="s">
        <v>83</v>
      </c>
      <c r="L575" s="3">
        <f>SUM(SalesData3[Sales Amount (PKR)])</f>
        <v>11946830</v>
      </c>
    </row>
    <row r="576" spans="1:12" ht="14.25" customHeight="1" x14ac:dyDescent="0.45">
      <c r="A576" t="s">
        <v>871</v>
      </c>
      <c r="B576" s="2" t="s">
        <v>350</v>
      </c>
      <c r="C576" t="s">
        <v>100</v>
      </c>
      <c r="D576" t="s">
        <v>398</v>
      </c>
      <c r="E576" t="s">
        <v>464</v>
      </c>
      <c r="F576" t="s">
        <v>131</v>
      </c>
      <c r="G576">
        <v>1</v>
      </c>
      <c r="H576" s="3">
        <v>2640</v>
      </c>
      <c r="I576" s="3">
        <v>2640</v>
      </c>
      <c r="J576" t="s">
        <v>76</v>
      </c>
      <c r="K576" t="s">
        <v>83</v>
      </c>
      <c r="L576" s="3">
        <f>SUM(SalesData3[Sales Amount (PKR)])</f>
        <v>11946830</v>
      </c>
    </row>
    <row r="577" spans="1:12" ht="14.25" customHeight="1" x14ac:dyDescent="0.45">
      <c r="A577" t="s">
        <v>872</v>
      </c>
      <c r="B577" s="2" t="s">
        <v>216</v>
      </c>
      <c r="C577" t="s">
        <v>89</v>
      </c>
      <c r="D577" t="s">
        <v>398</v>
      </c>
      <c r="E577" t="s">
        <v>464</v>
      </c>
      <c r="F577" t="s">
        <v>123</v>
      </c>
      <c r="G577">
        <v>1</v>
      </c>
      <c r="H577" s="3">
        <v>2640</v>
      </c>
      <c r="I577" s="3">
        <v>2640</v>
      </c>
      <c r="J577" t="s">
        <v>76</v>
      </c>
      <c r="K577" t="s">
        <v>83</v>
      </c>
      <c r="L577" s="3">
        <f>SUM(SalesData3[Sales Amount (PKR)])</f>
        <v>11946830</v>
      </c>
    </row>
    <row r="578" spans="1:12" ht="14.25" customHeight="1" x14ac:dyDescent="0.45">
      <c r="A578" t="s">
        <v>873</v>
      </c>
      <c r="B578" s="2" t="s">
        <v>337</v>
      </c>
      <c r="C578" t="s">
        <v>96</v>
      </c>
      <c r="D578" t="s">
        <v>398</v>
      </c>
      <c r="E578" t="s">
        <v>464</v>
      </c>
      <c r="F578" t="s">
        <v>107</v>
      </c>
      <c r="G578">
        <v>1</v>
      </c>
      <c r="H578" s="3">
        <v>2630</v>
      </c>
      <c r="I578" s="3">
        <v>2630</v>
      </c>
      <c r="J578" t="s">
        <v>82</v>
      </c>
      <c r="K578" t="s">
        <v>77</v>
      </c>
      <c r="L578" s="3">
        <f>SUM(SalesData3[Sales Amount (PKR)])</f>
        <v>11946830</v>
      </c>
    </row>
    <row r="579" spans="1:12" ht="14.25" customHeight="1" x14ac:dyDescent="0.45">
      <c r="A579" t="s">
        <v>874</v>
      </c>
      <c r="B579" s="2" t="s">
        <v>200</v>
      </c>
      <c r="C579" t="s">
        <v>96</v>
      </c>
      <c r="D579" t="s">
        <v>398</v>
      </c>
      <c r="E579" t="s">
        <v>464</v>
      </c>
      <c r="F579" t="s">
        <v>123</v>
      </c>
      <c r="G579">
        <v>1</v>
      </c>
      <c r="H579" s="3">
        <v>2630</v>
      </c>
      <c r="I579" s="3">
        <v>2630</v>
      </c>
      <c r="J579" t="s">
        <v>76</v>
      </c>
      <c r="K579" t="s">
        <v>93</v>
      </c>
      <c r="L579" s="3">
        <f>SUM(SalesData3[Sales Amount (PKR)])</f>
        <v>11946830</v>
      </c>
    </row>
    <row r="580" spans="1:12" ht="14.25" customHeight="1" x14ac:dyDescent="0.45">
      <c r="A580" t="s">
        <v>875</v>
      </c>
      <c r="B580" s="2" t="s">
        <v>206</v>
      </c>
      <c r="C580" t="s">
        <v>96</v>
      </c>
      <c r="D580" t="s">
        <v>398</v>
      </c>
      <c r="E580" t="s">
        <v>464</v>
      </c>
      <c r="F580" t="s">
        <v>117</v>
      </c>
      <c r="G580">
        <v>1</v>
      </c>
      <c r="H580" s="3">
        <v>2620</v>
      </c>
      <c r="I580" s="3">
        <v>2620</v>
      </c>
      <c r="J580" t="s">
        <v>76</v>
      </c>
      <c r="K580" t="s">
        <v>93</v>
      </c>
      <c r="L580" s="3">
        <f>SUM(SalesData3[Sales Amount (PKR)])</f>
        <v>11946830</v>
      </c>
    </row>
    <row r="581" spans="1:12" ht="14.25" customHeight="1" x14ac:dyDescent="0.45">
      <c r="A581" t="s">
        <v>876</v>
      </c>
      <c r="B581" s="2" t="s">
        <v>177</v>
      </c>
      <c r="C581" t="s">
        <v>72</v>
      </c>
      <c r="D581" t="s">
        <v>398</v>
      </c>
      <c r="E581" t="s">
        <v>464</v>
      </c>
      <c r="F581" t="s">
        <v>90</v>
      </c>
      <c r="G581">
        <v>1</v>
      </c>
      <c r="H581" s="3">
        <v>2610</v>
      </c>
      <c r="I581" s="3">
        <v>2610</v>
      </c>
      <c r="J581" t="s">
        <v>82</v>
      </c>
      <c r="K581" t="s">
        <v>93</v>
      </c>
      <c r="L581" s="3">
        <f>SUM(SalesData3[Sales Amount (PKR)])</f>
        <v>11946830</v>
      </c>
    </row>
    <row r="582" spans="1:12" ht="14.25" customHeight="1" x14ac:dyDescent="0.45">
      <c r="A582" t="s">
        <v>877</v>
      </c>
      <c r="B582" s="2" t="s">
        <v>113</v>
      </c>
      <c r="C582" t="s">
        <v>89</v>
      </c>
      <c r="D582" t="s">
        <v>398</v>
      </c>
      <c r="E582" t="s">
        <v>464</v>
      </c>
      <c r="F582" t="s">
        <v>90</v>
      </c>
      <c r="G582">
        <v>1</v>
      </c>
      <c r="H582" s="3">
        <v>2610</v>
      </c>
      <c r="I582" s="3">
        <v>2610</v>
      </c>
      <c r="J582" t="s">
        <v>82</v>
      </c>
      <c r="K582" t="s">
        <v>93</v>
      </c>
      <c r="L582" s="3">
        <f>SUM(SalesData3[Sales Amount (PKR)])</f>
        <v>11946830</v>
      </c>
    </row>
    <row r="583" spans="1:12" ht="14.25" customHeight="1" x14ac:dyDescent="0.45">
      <c r="A583" t="s">
        <v>878</v>
      </c>
      <c r="B583" s="2" t="s">
        <v>544</v>
      </c>
      <c r="C583" t="s">
        <v>89</v>
      </c>
      <c r="D583" t="s">
        <v>398</v>
      </c>
      <c r="E583" t="s">
        <v>464</v>
      </c>
      <c r="F583" t="s">
        <v>107</v>
      </c>
      <c r="G583">
        <v>1</v>
      </c>
      <c r="H583" s="3">
        <v>2600</v>
      </c>
      <c r="I583" s="3">
        <v>2600</v>
      </c>
      <c r="J583" t="s">
        <v>82</v>
      </c>
      <c r="K583" t="s">
        <v>77</v>
      </c>
      <c r="L583" s="3">
        <f>SUM(SalesData3[Sales Amount (PKR)])</f>
        <v>11946830</v>
      </c>
    </row>
    <row r="584" spans="1:12" ht="14.25" customHeight="1" x14ac:dyDescent="0.45">
      <c r="A584" t="s">
        <v>879</v>
      </c>
      <c r="B584" s="2" t="s">
        <v>278</v>
      </c>
      <c r="C584" t="s">
        <v>96</v>
      </c>
      <c r="D584" t="s">
        <v>398</v>
      </c>
      <c r="E584" t="s">
        <v>464</v>
      </c>
      <c r="F584" t="s">
        <v>107</v>
      </c>
      <c r="G584">
        <v>1</v>
      </c>
      <c r="H584" s="3">
        <v>2600</v>
      </c>
      <c r="I584" s="3">
        <v>2600</v>
      </c>
      <c r="J584" t="s">
        <v>82</v>
      </c>
      <c r="K584" t="s">
        <v>77</v>
      </c>
      <c r="L584" s="3">
        <f>SUM(SalesData3[Sales Amount (PKR)])</f>
        <v>11946830</v>
      </c>
    </row>
    <row r="585" spans="1:12" ht="14.25" customHeight="1" x14ac:dyDescent="0.45">
      <c r="A585" t="s">
        <v>880</v>
      </c>
      <c r="B585" s="2" t="s">
        <v>326</v>
      </c>
      <c r="C585" t="s">
        <v>100</v>
      </c>
      <c r="D585" t="s">
        <v>398</v>
      </c>
      <c r="E585" t="s">
        <v>464</v>
      </c>
      <c r="F585" t="s">
        <v>107</v>
      </c>
      <c r="G585">
        <v>1</v>
      </c>
      <c r="H585" s="3">
        <v>2600</v>
      </c>
      <c r="I585" s="3">
        <v>2600</v>
      </c>
      <c r="J585" t="s">
        <v>82</v>
      </c>
      <c r="K585" t="s">
        <v>83</v>
      </c>
      <c r="L585" s="3">
        <f>SUM(SalesData3[Sales Amount (PKR)])</f>
        <v>11946830</v>
      </c>
    </row>
    <row r="586" spans="1:12" ht="14.25" customHeight="1" x14ac:dyDescent="0.45">
      <c r="A586" t="s">
        <v>881</v>
      </c>
      <c r="B586" s="2" t="s">
        <v>453</v>
      </c>
      <c r="C586" t="s">
        <v>100</v>
      </c>
      <c r="D586" t="s">
        <v>398</v>
      </c>
      <c r="E586" t="s">
        <v>464</v>
      </c>
      <c r="F586" t="s">
        <v>117</v>
      </c>
      <c r="G586">
        <v>1</v>
      </c>
      <c r="H586" s="3">
        <v>2580</v>
      </c>
      <c r="I586" s="3">
        <v>2580</v>
      </c>
      <c r="J586" t="s">
        <v>76</v>
      </c>
      <c r="K586" t="s">
        <v>77</v>
      </c>
      <c r="L586" s="3">
        <f>SUM(SalesData3[Sales Amount (PKR)])</f>
        <v>11946830</v>
      </c>
    </row>
    <row r="587" spans="1:12" ht="14.25" customHeight="1" x14ac:dyDescent="0.45">
      <c r="A587" t="s">
        <v>882</v>
      </c>
      <c r="B587" s="2" t="s">
        <v>381</v>
      </c>
      <c r="C587" t="s">
        <v>96</v>
      </c>
      <c r="D587" t="s">
        <v>398</v>
      </c>
      <c r="E587" t="s">
        <v>464</v>
      </c>
      <c r="F587" t="s">
        <v>131</v>
      </c>
      <c r="G587">
        <v>1</v>
      </c>
      <c r="H587" s="3">
        <v>2580</v>
      </c>
      <c r="I587" s="3">
        <v>2580</v>
      </c>
      <c r="J587" t="s">
        <v>76</v>
      </c>
      <c r="K587" t="s">
        <v>83</v>
      </c>
      <c r="L587" s="3">
        <f>SUM(SalesData3[Sales Amount (PKR)])</f>
        <v>11946830</v>
      </c>
    </row>
    <row r="588" spans="1:12" ht="14.25" customHeight="1" x14ac:dyDescent="0.45">
      <c r="A588" t="s">
        <v>883</v>
      </c>
      <c r="B588" s="2" t="s">
        <v>656</v>
      </c>
      <c r="C588" t="s">
        <v>80</v>
      </c>
      <c r="D588" t="s">
        <v>398</v>
      </c>
      <c r="E588" t="s">
        <v>464</v>
      </c>
      <c r="F588" t="s">
        <v>107</v>
      </c>
      <c r="G588">
        <v>1</v>
      </c>
      <c r="H588" s="3">
        <v>2570</v>
      </c>
      <c r="I588" s="3">
        <v>2570</v>
      </c>
      <c r="J588" t="s">
        <v>82</v>
      </c>
      <c r="K588" t="s">
        <v>77</v>
      </c>
      <c r="L588" s="3">
        <f>SUM(SalesData3[Sales Amount (PKR)])</f>
        <v>11946830</v>
      </c>
    </row>
    <row r="589" spans="1:12" ht="14.25" customHeight="1" x14ac:dyDescent="0.45">
      <c r="A589" t="s">
        <v>884</v>
      </c>
      <c r="B589" s="2" t="s">
        <v>445</v>
      </c>
      <c r="C589" t="s">
        <v>89</v>
      </c>
      <c r="D589" t="s">
        <v>398</v>
      </c>
      <c r="E589" t="s">
        <v>464</v>
      </c>
      <c r="F589" t="s">
        <v>117</v>
      </c>
      <c r="G589">
        <v>1</v>
      </c>
      <c r="H589" s="3">
        <v>2570</v>
      </c>
      <c r="I589" s="3">
        <v>2570</v>
      </c>
      <c r="J589" t="s">
        <v>82</v>
      </c>
      <c r="K589" t="s">
        <v>83</v>
      </c>
      <c r="L589" s="3">
        <f>SUM(SalesData3[Sales Amount (PKR)])</f>
        <v>11946830</v>
      </c>
    </row>
    <row r="590" spans="1:12" ht="14.25" customHeight="1" x14ac:dyDescent="0.45">
      <c r="A590" t="s">
        <v>885</v>
      </c>
      <c r="B590" s="2" t="s">
        <v>381</v>
      </c>
      <c r="C590" t="s">
        <v>96</v>
      </c>
      <c r="D590" t="s">
        <v>398</v>
      </c>
      <c r="E590" t="s">
        <v>464</v>
      </c>
      <c r="F590" t="s">
        <v>97</v>
      </c>
      <c r="G590">
        <v>1</v>
      </c>
      <c r="H590" s="3">
        <v>2540</v>
      </c>
      <c r="I590" s="3">
        <v>2540</v>
      </c>
      <c r="J590" t="s">
        <v>76</v>
      </c>
      <c r="K590" t="s">
        <v>83</v>
      </c>
      <c r="L590" s="3">
        <f>SUM(SalesData3[Sales Amount (PKR)])</f>
        <v>11946830</v>
      </c>
    </row>
    <row r="591" spans="1:12" ht="14.25" customHeight="1" x14ac:dyDescent="0.45">
      <c r="A591" t="s">
        <v>886</v>
      </c>
      <c r="B591" s="2" t="s">
        <v>146</v>
      </c>
      <c r="C591" t="s">
        <v>80</v>
      </c>
      <c r="D591" t="s">
        <v>398</v>
      </c>
      <c r="E591" t="s">
        <v>464</v>
      </c>
      <c r="F591" t="s">
        <v>81</v>
      </c>
      <c r="G591">
        <v>1</v>
      </c>
      <c r="H591" s="3">
        <v>2530</v>
      </c>
      <c r="I591" s="3">
        <v>2530</v>
      </c>
      <c r="J591" t="s">
        <v>76</v>
      </c>
      <c r="K591" t="s">
        <v>77</v>
      </c>
      <c r="L591" s="3">
        <f>SUM(SalesData3[Sales Amount (PKR)])</f>
        <v>11946830</v>
      </c>
    </row>
    <row r="592" spans="1:12" ht="14.25" customHeight="1" x14ac:dyDescent="0.45">
      <c r="A592" t="s">
        <v>887</v>
      </c>
      <c r="B592" s="2" t="s">
        <v>530</v>
      </c>
      <c r="C592" t="s">
        <v>80</v>
      </c>
      <c r="D592" t="s">
        <v>398</v>
      </c>
      <c r="E592" t="s">
        <v>464</v>
      </c>
      <c r="F592" t="s">
        <v>97</v>
      </c>
      <c r="G592">
        <v>1</v>
      </c>
      <c r="H592" s="3">
        <v>2530</v>
      </c>
      <c r="I592" s="3">
        <v>2530</v>
      </c>
      <c r="J592" t="s">
        <v>82</v>
      </c>
      <c r="K592" t="s">
        <v>77</v>
      </c>
      <c r="L592" s="3">
        <f>SUM(SalesData3[Sales Amount (PKR)])</f>
        <v>11946830</v>
      </c>
    </row>
    <row r="593" spans="1:12" ht="14.25" customHeight="1" x14ac:dyDescent="0.45">
      <c r="A593" t="s">
        <v>888</v>
      </c>
      <c r="B593" s="2" t="s">
        <v>552</v>
      </c>
      <c r="C593" t="s">
        <v>89</v>
      </c>
      <c r="D593" t="s">
        <v>398</v>
      </c>
      <c r="E593" t="s">
        <v>464</v>
      </c>
      <c r="F593" t="s">
        <v>140</v>
      </c>
      <c r="G593">
        <v>1</v>
      </c>
      <c r="H593" s="3">
        <v>2530</v>
      </c>
      <c r="I593" s="3">
        <v>2530</v>
      </c>
      <c r="J593" t="s">
        <v>82</v>
      </c>
      <c r="K593" t="s">
        <v>83</v>
      </c>
      <c r="L593" s="3">
        <f>SUM(SalesData3[Sales Amount (PKR)])</f>
        <v>11946830</v>
      </c>
    </row>
    <row r="594" spans="1:12" ht="14.25" customHeight="1" x14ac:dyDescent="0.45">
      <c r="A594" t="s">
        <v>889</v>
      </c>
      <c r="B594" s="2" t="s">
        <v>309</v>
      </c>
      <c r="C594" t="s">
        <v>96</v>
      </c>
      <c r="D594" t="s">
        <v>398</v>
      </c>
      <c r="E594" t="s">
        <v>464</v>
      </c>
      <c r="F594" t="s">
        <v>86</v>
      </c>
      <c r="G594">
        <v>1</v>
      </c>
      <c r="H594" s="3">
        <v>2510</v>
      </c>
      <c r="I594" s="3">
        <v>2510</v>
      </c>
      <c r="J594" t="s">
        <v>76</v>
      </c>
      <c r="K594" t="s">
        <v>77</v>
      </c>
      <c r="L594" s="3">
        <f>SUM(SalesData3[Sales Amount (PKR)])</f>
        <v>11946830</v>
      </c>
    </row>
    <row r="595" spans="1:12" ht="14.25" customHeight="1" x14ac:dyDescent="0.45">
      <c r="A595" t="s">
        <v>890</v>
      </c>
      <c r="B595" s="2" t="s">
        <v>223</v>
      </c>
      <c r="C595" t="s">
        <v>89</v>
      </c>
      <c r="D595" t="s">
        <v>398</v>
      </c>
      <c r="E595" t="s">
        <v>464</v>
      </c>
      <c r="F595" t="s">
        <v>117</v>
      </c>
      <c r="G595">
        <v>1</v>
      </c>
      <c r="H595" s="3">
        <v>2510</v>
      </c>
      <c r="I595" s="3">
        <v>2510</v>
      </c>
      <c r="J595" t="s">
        <v>76</v>
      </c>
      <c r="K595" t="s">
        <v>77</v>
      </c>
      <c r="L595" s="3">
        <f>SUM(SalesData3[Sales Amount (PKR)])</f>
        <v>11946830</v>
      </c>
    </row>
    <row r="596" spans="1:12" ht="14.25" customHeight="1" x14ac:dyDescent="0.45">
      <c r="A596" t="s">
        <v>891</v>
      </c>
      <c r="B596" s="2" t="s">
        <v>175</v>
      </c>
      <c r="C596" t="s">
        <v>100</v>
      </c>
      <c r="D596" t="s">
        <v>398</v>
      </c>
      <c r="E596" t="s">
        <v>464</v>
      </c>
      <c r="F596" t="s">
        <v>75</v>
      </c>
      <c r="G596">
        <v>1</v>
      </c>
      <c r="H596" s="3">
        <v>2510</v>
      </c>
      <c r="I596" s="3">
        <v>2510</v>
      </c>
      <c r="J596" t="s">
        <v>76</v>
      </c>
      <c r="K596" t="s">
        <v>83</v>
      </c>
      <c r="L596" s="3">
        <f>SUM(SalesData3[Sales Amount (PKR)])</f>
        <v>11946830</v>
      </c>
    </row>
    <row r="597" spans="1:12" ht="14.25" customHeight="1" x14ac:dyDescent="0.45">
      <c r="A597" t="s">
        <v>892</v>
      </c>
      <c r="B597" s="2" t="s">
        <v>607</v>
      </c>
      <c r="C597" t="s">
        <v>89</v>
      </c>
      <c r="D597" t="s">
        <v>398</v>
      </c>
      <c r="E597" t="s">
        <v>464</v>
      </c>
      <c r="F597" t="s">
        <v>140</v>
      </c>
      <c r="G597">
        <v>1</v>
      </c>
      <c r="H597" s="3">
        <v>2510</v>
      </c>
      <c r="I597" s="3">
        <v>2510</v>
      </c>
      <c r="J597" t="s">
        <v>76</v>
      </c>
      <c r="K597" t="s">
        <v>77</v>
      </c>
      <c r="L597" s="3">
        <f>SUM(SalesData3[Sales Amount (PKR)])</f>
        <v>11946830</v>
      </c>
    </row>
    <row r="598" spans="1:12" ht="14.25" customHeight="1" x14ac:dyDescent="0.45">
      <c r="A598" t="s">
        <v>893</v>
      </c>
      <c r="B598" s="2" t="s">
        <v>227</v>
      </c>
      <c r="C598" t="s">
        <v>100</v>
      </c>
      <c r="D598" t="s">
        <v>398</v>
      </c>
      <c r="E598" t="s">
        <v>464</v>
      </c>
      <c r="F598" t="s">
        <v>90</v>
      </c>
      <c r="G598">
        <v>1</v>
      </c>
      <c r="H598" s="3">
        <v>2510</v>
      </c>
      <c r="I598" s="3">
        <v>2510</v>
      </c>
      <c r="J598" t="s">
        <v>76</v>
      </c>
      <c r="K598" t="s">
        <v>83</v>
      </c>
      <c r="L598" s="3">
        <f>SUM(SalesData3[Sales Amount (PKR)])</f>
        <v>11946830</v>
      </c>
    </row>
    <row r="599" spans="1:12" ht="14.25" customHeight="1" x14ac:dyDescent="0.45">
      <c r="A599" t="s">
        <v>894</v>
      </c>
      <c r="B599" s="2" t="s">
        <v>343</v>
      </c>
      <c r="C599" t="s">
        <v>80</v>
      </c>
      <c r="D599" t="s">
        <v>398</v>
      </c>
      <c r="E599" t="s">
        <v>464</v>
      </c>
      <c r="F599" t="s">
        <v>140</v>
      </c>
      <c r="G599">
        <v>1</v>
      </c>
      <c r="H599" s="3">
        <v>2500</v>
      </c>
      <c r="I599" s="3">
        <v>2500</v>
      </c>
      <c r="J599" t="s">
        <v>76</v>
      </c>
      <c r="K599" t="s">
        <v>83</v>
      </c>
      <c r="L599" s="3">
        <f>SUM(SalesData3[Sales Amount (PKR)])</f>
        <v>11946830</v>
      </c>
    </row>
    <row r="600" spans="1:12" ht="14.25" customHeight="1" x14ac:dyDescent="0.45">
      <c r="A600" t="s">
        <v>895</v>
      </c>
      <c r="B600" s="2" t="s">
        <v>109</v>
      </c>
      <c r="C600" t="s">
        <v>96</v>
      </c>
      <c r="D600" t="s">
        <v>472</v>
      </c>
      <c r="E600" t="s">
        <v>473</v>
      </c>
      <c r="F600" t="s">
        <v>107</v>
      </c>
      <c r="G600">
        <v>1</v>
      </c>
      <c r="H600" s="3">
        <v>2490</v>
      </c>
      <c r="I600" s="3">
        <v>2490</v>
      </c>
      <c r="J600" t="s">
        <v>76</v>
      </c>
      <c r="K600" t="s">
        <v>77</v>
      </c>
      <c r="L600" s="3">
        <f>SUM(SalesData3[Sales Amount (PKR)])</f>
        <v>11946830</v>
      </c>
    </row>
    <row r="601" spans="1:12" ht="14.25" customHeight="1" x14ac:dyDescent="0.45">
      <c r="A601" t="s">
        <v>896</v>
      </c>
      <c r="B601" s="2" t="s">
        <v>597</v>
      </c>
      <c r="C601" t="s">
        <v>100</v>
      </c>
      <c r="D601" t="s">
        <v>472</v>
      </c>
      <c r="E601" t="s">
        <v>473</v>
      </c>
      <c r="F601" t="s">
        <v>75</v>
      </c>
      <c r="G601">
        <v>1</v>
      </c>
      <c r="H601" s="3">
        <v>2490</v>
      </c>
      <c r="I601" s="3">
        <v>2490</v>
      </c>
      <c r="J601" t="s">
        <v>82</v>
      </c>
      <c r="K601" t="s">
        <v>83</v>
      </c>
      <c r="L601" s="3">
        <f>SUM(SalesData3[Sales Amount (PKR)])</f>
        <v>11946830</v>
      </c>
    </row>
    <row r="602" spans="1:12" ht="14.25" customHeight="1" x14ac:dyDescent="0.45">
      <c r="A602" t="s">
        <v>897</v>
      </c>
      <c r="B602" s="2" t="s">
        <v>385</v>
      </c>
      <c r="C602" t="s">
        <v>89</v>
      </c>
      <c r="D602" t="s">
        <v>472</v>
      </c>
      <c r="E602" t="s">
        <v>473</v>
      </c>
      <c r="F602" t="s">
        <v>75</v>
      </c>
      <c r="G602">
        <v>1</v>
      </c>
      <c r="H602" s="3">
        <v>2480</v>
      </c>
      <c r="I602" s="3">
        <v>2480</v>
      </c>
      <c r="J602" t="s">
        <v>76</v>
      </c>
      <c r="K602" t="s">
        <v>77</v>
      </c>
      <c r="L602" s="3">
        <f>SUM(SalesData3[Sales Amount (PKR)])</f>
        <v>11946830</v>
      </c>
    </row>
    <row r="603" spans="1:12" ht="14.25" customHeight="1" x14ac:dyDescent="0.45">
      <c r="A603" t="s">
        <v>898</v>
      </c>
      <c r="B603" s="2" t="s">
        <v>350</v>
      </c>
      <c r="C603" t="s">
        <v>72</v>
      </c>
      <c r="D603" t="s">
        <v>472</v>
      </c>
      <c r="E603" t="s">
        <v>473</v>
      </c>
      <c r="F603" t="s">
        <v>123</v>
      </c>
      <c r="G603">
        <v>1</v>
      </c>
      <c r="H603" s="3">
        <v>2480</v>
      </c>
      <c r="I603" s="3">
        <v>2480</v>
      </c>
      <c r="J603" t="s">
        <v>76</v>
      </c>
      <c r="K603" t="s">
        <v>77</v>
      </c>
      <c r="L603" s="3">
        <f>SUM(SalesData3[Sales Amount (PKR)])</f>
        <v>11946830</v>
      </c>
    </row>
    <row r="604" spans="1:12" ht="14.25" customHeight="1" x14ac:dyDescent="0.45">
      <c r="A604" t="s">
        <v>899</v>
      </c>
      <c r="B604" s="2" t="s">
        <v>522</v>
      </c>
      <c r="C604" t="s">
        <v>96</v>
      </c>
      <c r="D604" t="s">
        <v>472</v>
      </c>
      <c r="E604" t="s">
        <v>557</v>
      </c>
      <c r="F604" t="s">
        <v>75</v>
      </c>
      <c r="G604">
        <v>2</v>
      </c>
      <c r="H604" s="3">
        <v>1240</v>
      </c>
      <c r="I604" s="3">
        <v>2480</v>
      </c>
      <c r="J604" t="s">
        <v>76</v>
      </c>
      <c r="K604" t="s">
        <v>83</v>
      </c>
      <c r="L604" s="3">
        <f>SUM(SalesData3[Sales Amount (PKR)])</f>
        <v>11946830</v>
      </c>
    </row>
    <row r="605" spans="1:12" ht="14.25" customHeight="1" x14ac:dyDescent="0.45">
      <c r="A605" t="s">
        <v>900</v>
      </c>
      <c r="B605" s="2" t="s">
        <v>381</v>
      </c>
      <c r="C605" t="s">
        <v>89</v>
      </c>
      <c r="D605" t="s">
        <v>472</v>
      </c>
      <c r="E605" t="s">
        <v>557</v>
      </c>
      <c r="F605" t="s">
        <v>107</v>
      </c>
      <c r="G605">
        <v>2</v>
      </c>
      <c r="H605" s="3">
        <v>1230</v>
      </c>
      <c r="I605" s="3">
        <v>2460</v>
      </c>
      <c r="J605" t="s">
        <v>82</v>
      </c>
      <c r="K605" t="s">
        <v>77</v>
      </c>
      <c r="L605" s="3">
        <f>SUM(SalesData3[Sales Amount (PKR)])</f>
        <v>11946830</v>
      </c>
    </row>
    <row r="606" spans="1:12" ht="14.25" customHeight="1" x14ac:dyDescent="0.45">
      <c r="A606" t="s">
        <v>901</v>
      </c>
      <c r="B606" s="2" t="s">
        <v>374</v>
      </c>
      <c r="C606" t="s">
        <v>96</v>
      </c>
      <c r="D606" t="s">
        <v>472</v>
      </c>
      <c r="E606" t="s">
        <v>473</v>
      </c>
      <c r="F606" t="s">
        <v>81</v>
      </c>
      <c r="G606">
        <v>1</v>
      </c>
      <c r="H606" s="3">
        <v>2460</v>
      </c>
      <c r="I606" s="3">
        <v>2460</v>
      </c>
      <c r="J606" t="s">
        <v>76</v>
      </c>
      <c r="K606" t="s">
        <v>77</v>
      </c>
      <c r="L606" s="3">
        <f>SUM(SalesData3[Sales Amount (PKR)])</f>
        <v>11946830</v>
      </c>
    </row>
    <row r="607" spans="1:12" ht="14.25" customHeight="1" x14ac:dyDescent="0.45">
      <c r="A607" t="s">
        <v>902</v>
      </c>
      <c r="B607" s="2" t="s">
        <v>632</v>
      </c>
      <c r="C607" t="s">
        <v>89</v>
      </c>
      <c r="D607" t="s">
        <v>472</v>
      </c>
      <c r="E607" t="s">
        <v>473</v>
      </c>
      <c r="F607" t="s">
        <v>86</v>
      </c>
      <c r="G607">
        <v>1</v>
      </c>
      <c r="H607" s="3">
        <v>2460</v>
      </c>
      <c r="I607" s="3">
        <v>2460</v>
      </c>
      <c r="J607" t="s">
        <v>76</v>
      </c>
      <c r="K607" t="s">
        <v>93</v>
      </c>
      <c r="L607" s="3">
        <f>SUM(SalesData3[Sales Amount (PKR)])</f>
        <v>11946830</v>
      </c>
    </row>
    <row r="608" spans="1:12" ht="14.25" customHeight="1" x14ac:dyDescent="0.45">
      <c r="A608" t="s">
        <v>903</v>
      </c>
      <c r="B608" s="2" t="s">
        <v>88</v>
      </c>
      <c r="C608" t="s">
        <v>80</v>
      </c>
      <c r="D608" t="s">
        <v>472</v>
      </c>
      <c r="E608" t="s">
        <v>473</v>
      </c>
      <c r="F608" t="s">
        <v>75</v>
      </c>
      <c r="G608">
        <v>1</v>
      </c>
      <c r="H608" s="3">
        <v>2460</v>
      </c>
      <c r="I608" s="3">
        <v>2460</v>
      </c>
      <c r="J608" t="s">
        <v>82</v>
      </c>
      <c r="K608" t="s">
        <v>83</v>
      </c>
      <c r="L608" s="3">
        <f>SUM(SalesData3[Sales Amount (PKR)])</f>
        <v>11946830</v>
      </c>
    </row>
    <row r="609" spans="1:12" ht="14.25" customHeight="1" x14ac:dyDescent="0.45">
      <c r="A609" t="s">
        <v>904</v>
      </c>
      <c r="B609" s="2" t="s">
        <v>186</v>
      </c>
      <c r="C609" t="s">
        <v>100</v>
      </c>
      <c r="D609" t="s">
        <v>472</v>
      </c>
      <c r="E609" t="s">
        <v>473</v>
      </c>
      <c r="F609" t="s">
        <v>107</v>
      </c>
      <c r="G609">
        <v>1</v>
      </c>
      <c r="H609" s="3">
        <v>2450</v>
      </c>
      <c r="I609" s="3">
        <v>2450</v>
      </c>
      <c r="J609" t="s">
        <v>82</v>
      </c>
      <c r="K609" t="s">
        <v>83</v>
      </c>
      <c r="L609" s="3">
        <f>SUM(SalesData3[Sales Amount (PKR)])</f>
        <v>11946830</v>
      </c>
    </row>
    <row r="610" spans="1:12" ht="14.25" customHeight="1" x14ac:dyDescent="0.45">
      <c r="A610" t="s">
        <v>905</v>
      </c>
      <c r="B610" s="2" t="s">
        <v>171</v>
      </c>
      <c r="C610" t="s">
        <v>96</v>
      </c>
      <c r="D610" t="s">
        <v>472</v>
      </c>
      <c r="E610" t="s">
        <v>473</v>
      </c>
      <c r="F610" t="s">
        <v>131</v>
      </c>
      <c r="G610">
        <v>1</v>
      </c>
      <c r="H610" s="3">
        <v>2450</v>
      </c>
      <c r="I610" s="3">
        <v>2450</v>
      </c>
      <c r="J610" t="s">
        <v>76</v>
      </c>
      <c r="K610" t="s">
        <v>93</v>
      </c>
      <c r="L610" s="3">
        <f>SUM(SalesData3[Sales Amount (PKR)])</f>
        <v>11946830</v>
      </c>
    </row>
    <row r="611" spans="1:12" ht="14.25" customHeight="1" x14ac:dyDescent="0.45">
      <c r="A611" t="s">
        <v>906</v>
      </c>
      <c r="B611" s="2" t="s">
        <v>632</v>
      </c>
      <c r="C611" t="s">
        <v>96</v>
      </c>
      <c r="D611" t="s">
        <v>472</v>
      </c>
      <c r="E611" t="s">
        <v>473</v>
      </c>
      <c r="F611" t="s">
        <v>117</v>
      </c>
      <c r="G611">
        <v>1</v>
      </c>
      <c r="H611" s="3">
        <v>2450</v>
      </c>
      <c r="I611" s="3">
        <v>2450</v>
      </c>
      <c r="J611" t="s">
        <v>76</v>
      </c>
      <c r="K611" t="s">
        <v>83</v>
      </c>
      <c r="L611" s="3">
        <f>SUM(SalesData3[Sales Amount (PKR)])</f>
        <v>11946830</v>
      </c>
    </row>
    <row r="612" spans="1:12" ht="14.25" customHeight="1" x14ac:dyDescent="0.45">
      <c r="A612" t="s">
        <v>907</v>
      </c>
      <c r="B612" s="2" t="s">
        <v>103</v>
      </c>
      <c r="C612" t="s">
        <v>89</v>
      </c>
      <c r="D612" t="s">
        <v>472</v>
      </c>
      <c r="E612" t="s">
        <v>473</v>
      </c>
      <c r="F612" t="s">
        <v>140</v>
      </c>
      <c r="G612">
        <v>1</v>
      </c>
      <c r="H612" s="3">
        <v>2450</v>
      </c>
      <c r="I612" s="3">
        <v>2450</v>
      </c>
      <c r="J612" t="s">
        <v>76</v>
      </c>
      <c r="K612" t="s">
        <v>93</v>
      </c>
      <c r="L612" s="3">
        <f>SUM(SalesData3[Sales Amount (PKR)])</f>
        <v>11946830</v>
      </c>
    </row>
    <row r="613" spans="1:12" ht="14.25" customHeight="1" x14ac:dyDescent="0.45">
      <c r="A613" t="s">
        <v>908</v>
      </c>
      <c r="B613" s="2" t="s">
        <v>352</v>
      </c>
      <c r="C613" t="s">
        <v>72</v>
      </c>
      <c r="D613" t="s">
        <v>472</v>
      </c>
      <c r="E613" t="s">
        <v>473</v>
      </c>
      <c r="F613" t="s">
        <v>107</v>
      </c>
      <c r="G613">
        <v>1</v>
      </c>
      <c r="H613" s="3">
        <v>2450</v>
      </c>
      <c r="I613" s="3">
        <v>2450</v>
      </c>
      <c r="J613" t="s">
        <v>82</v>
      </c>
      <c r="K613" t="s">
        <v>83</v>
      </c>
      <c r="L613" s="3">
        <f>SUM(SalesData3[Sales Amount (PKR)])</f>
        <v>11946830</v>
      </c>
    </row>
    <row r="614" spans="1:12" ht="14.25" customHeight="1" x14ac:dyDescent="0.45">
      <c r="A614" t="s">
        <v>909</v>
      </c>
      <c r="B614" s="2" t="s">
        <v>179</v>
      </c>
      <c r="C614" t="s">
        <v>96</v>
      </c>
      <c r="D614" t="s">
        <v>472</v>
      </c>
      <c r="E614" t="s">
        <v>473</v>
      </c>
      <c r="F614" t="s">
        <v>81</v>
      </c>
      <c r="G614">
        <v>1</v>
      </c>
      <c r="H614" s="3">
        <v>2440</v>
      </c>
      <c r="I614" s="3">
        <v>2440</v>
      </c>
      <c r="J614" t="s">
        <v>76</v>
      </c>
      <c r="K614" t="s">
        <v>77</v>
      </c>
      <c r="L614" s="3">
        <f>SUM(SalesData3[Sales Amount (PKR)])</f>
        <v>11946830</v>
      </c>
    </row>
    <row r="615" spans="1:12" ht="14.25" customHeight="1" x14ac:dyDescent="0.45">
      <c r="A615" t="s">
        <v>910</v>
      </c>
      <c r="B615" s="2" t="s">
        <v>133</v>
      </c>
      <c r="C615" t="s">
        <v>72</v>
      </c>
      <c r="D615" t="s">
        <v>472</v>
      </c>
      <c r="E615" t="s">
        <v>473</v>
      </c>
      <c r="F615" t="s">
        <v>131</v>
      </c>
      <c r="G615">
        <v>1</v>
      </c>
      <c r="H615" s="3">
        <v>2440</v>
      </c>
      <c r="I615" s="3">
        <v>2440</v>
      </c>
      <c r="J615" t="s">
        <v>76</v>
      </c>
      <c r="K615" t="s">
        <v>93</v>
      </c>
      <c r="L615" s="3">
        <f>SUM(SalesData3[Sales Amount (PKR)])</f>
        <v>11946830</v>
      </c>
    </row>
    <row r="616" spans="1:12" ht="14.25" customHeight="1" x14ac:dyDescent="0.45">
      <c r="A616" t="s">
        <v>911</v>
      </c>
      <c r="B616" s="2" t="s">
        <v>354</v>
      </c>
      <c r="C616" t="s">
        <v>89</v>
      </c>
      <c r="D616" t="s">
        <v>472</v>
      </c>
      <c r="E616" t="s">
        <v>473</v>
      </c>
      <c r="F616" t="s">
        <v>140</v>
      </c>
      <c r="G616">
        <v>1</v>
      </c>
      <c r="H616" s="3">
        <v>2440</v>
      </c>
      <c r="I616" s="3">
        <v>2440</v>
      </c>
      <c r="J616" t="s">
        <v>82</v>
      </c>
      <c r="K616" t="s">
        <v>83</v>
      </c>
      <c r="L616" s="3">
        <f>SUM(SalesData3[Sales Amount (PKR)])</f>
        <v>11946830</v>
      </c>
    </row>
    <row r="617" spans="1:12" ht="14.25" customHeight="1" x14ac:dyDescent="0.45">
      <c r="A617" t="s">
        <v>912</v>
      </c>
      <c r="B617" s="2" t="s">
        <v>591</v>
      </c>
      <c r="C617" t="s">
        <v>96</v>
      </c>
      <c r="D617" t="s">
        <v>472</v>
      </c>
      <c r="E617" t="s">
        <v>557</v>
      </c>
      <c r="F617" t="s">
        <v>117</v>
      </c>
      <c r="G617">
        <v>2</v>
      </c>
      <c r="H617" s="3">
        <v>1220</v>
      </c>
      <c r="I617" s="3">
        <v>2440</v>
      </c>
      <c r="J617" t="s">
        <v>82</v>
      </c>
      <c r="K617" t="s">
        <v>83</v>
      </c>
      <c r="L617" s="3">
        <f>SUM(SalesData3[Sales Amount (PKR)])</f>
        <v>11946830</v>
      </c>
    </row>
    <row r="618" spans="1:12" ht="14.25" customHeight="1" x14ac:dyDescent="0.45">
      <c r="A618" t="s">
        <v>913</v>
      </c>
      <c r="B618" s="2" t="s">
        <v>670</v>
      </c>
      <c r="C618" t="s">
        <v>89</v>
      </c>
      <c r="D618" t="s">
        <v>472</v>
      </c>
      <c r="E618" t="s">
        <v>473</v>
      </c>
      <c r="F618" t="s">
        <v>81</v>
      </c>
      <c r="G618">
        <v>1</v>
      </c>
      <c r="H618" s="3">
        <v>2430</v>
      </c>
      <c r="I618" s="3">
        <v>2430</v>
      </c>
      <c r="J618" t="s">
        <v>76</v>
      </c>
      <c r="K618" t="s">
        <v>83</v>
      </c>
      <c r="L618" s="3">
        <f>SUM(SalesData3[Sales Amount (PKR)])</f>
        <v>11946830</v>
      </c>
    </row>
    <row r="619" spans="1:12" ht="14.25" customHeight="1" x14ac:dyDescent="0.45">
      <c r="A619" t="s">
        <v>914</v>
      </c>
      <c r="B619" s="2" t="s">
        <v>414</v>
      </c>
      <c r="C619" t="s">
        <v>96</v>
      </c>
      <c r="D619" t="s">
        <v>472</v>
      </c>
      <c r="E619" t="s">
        <v>473</v>
      </c>
      <c r="F619" t="s">
        <v>81</v>
      </c>
      <c r="G619">
        <v>1</v>
      </c>
      <c r="H619" s="3">
        <v>2420</v>
      </c>
      <c r="I619" s="3">
        <v>2420</v>
      </c>
      <c r="J619" t="s">
        <v>82</v>
      </c>
      <c r="K619" t="s">
        <v>77</v>
      </c>
      <c r="L619" s="3">
        <f>SUM(SalesData3[Sales Amount (PKR)])</f>
        <v>11946830</v>
      </c>
    </row>
    <row r="620" spans="1:12" ht="14.25" customHeight="1" x14ac:dyDescent="0.45">
      <c r="A620" t="s">
        <v>915</v>
      </c>
      <c r="B620" s="2" t="s">
        <v>343</v>
      </c>
      <c r="C620" t="s">
        <v>96</v>
      </c>
      <c r="D620" t="s">
        <v>472</v>
      </c>
      <c r="E620" t="s">
        <v>473</v>
      </c>
      <c r="F620" t="s">
        <v>117</v>
      </c>
      <c r="G620">
        <v>1</v>
      </c>
      <c r="H620" s="3">
        <v>2420</v>
      </c>
      <c r="I620" s="3">
        <v>2420</v>
      </c>
      <c r="J620" t="s">
        <v>76</v>
      </c>
      <c r="K620" t="s">
        <v>93</v>
      </c>
      <c r="L620" s="3">
        <f>SUM(SalesData3[Sales Amount (PKR)])</f>
        <v>11946830</v>
      </c>
    </row>
    <row r="621" spans="1:12" ht="14.25" customHeight="1" x14ac:dyDescent="0.45">
      <c r="A621" t="s">
        <v>916</v>
      </c>
      <c r="B621" s="2" t="s">
        <v>363</v>
      </c>
      <c r="C621" t="s">
        <v>100</v>
      </c>
      <c r="D621" t="s">
        <v>472</v>
      </c>
      <c r="E621" t="s">
        <v>557</v>
      </c>
      <c r="F621" t="s">
        <v>123</v>
      </c>
      <c r="G621">
        <v>2</v>
      </c>
      <c r="H621" s="3">
        <v>1210</v>
      </c>
      <c r="I621" s="3">
        <v>2420</v>
      </c>
      <c r="J621" t="s">
        <v>82</v>
      </c>
      <c r="K621" t="s">
        <v>93</v>
      </c>
      <c r="L621" s="3">
        <f>SUM(SalesData3[Sales Amount (PKR)])</f>
        <v>11946830</v>
      </c>
    </row>
    <row r="622" spans="1:12" ht="14.25" customHeight="1" x14ac:dyDescent="0.45">
      <c r="A622" t="s">
        <v>917</v>
      </c>
      <c r="B622" s="2" t="s">
        <v>502</v>
      </c>
      <c r="C622" t="s">
        <v>89</v>
      </c>
      <c r="D622" t="s">
        <v>472</v>
      </c>
      <c r="E622" t="s">
        <v>557</v>
      </c>
      <c r="F622" t="s">
        <v>97</v>
      </c>
      <c r="G622">
        <v>2</v>
      </c>
      <c r="H622" s="3">
        <v>1210</v>
      </c>
      <c r="I622" s="3">
        <v>2420</v>
      </c>
      <c r="J622" t="s">
        <v>76</v>
      </c>
      <c r="K622" t="s">
        <v>93</v>
      </c>
      <c r="L622" s="3">
        <f>SUM(SalesData3[Sales Amount (PKR)])</f>
        <v>11946830</v>
      </c>
    </row>
    <row r="623" spans="1:12" ht="14.25" customHeight="1" x14ac:dyDescent="0.45">
      <c r="A623" t="s">
        <v>918</v>
      </c>
      <c r="B623" s="2" t="s">
        <v>919</v>
      </c>
      <c r="C623" t="s">
        <v>89</v>
      </c>
      <c r="D623" t="s">
        <v>472</v>
      </c>
      <c r="E623" t="s">
        <v>473</v>
      </c>
      <c r="F623" t="s">
        <v>90</v>
      </c>
      <c r="G623">
        <v>1</v>
      </c>
      <c r="H623" s="3">
        <v>2410</v>
      </c>
      <c r="I623" s="3">
        <v>2410</v>
      </c>
      <c r="J623" t="s">
        <v>76</v>
      </c>
      <c r="K623" t="s">
        <v>93</v>
      </c>
      <c r="L623" s="3">
        <f>SUM(SalesData3[Sales Amount (PKR)])</f>
        <v>11946830</v>
      </c>
    </row>
    <row r="624" spans="1:12" ht="14.25" customHeight="1" x14ac:dyDescent="0.45">
      <c r="A624" t="s">
        <v>920</v>
      </c>
      <c r="B624" s="2" t="s">
        <v>843</v>
      </c>
      <c r="C624" t="s">
        <v>89</v>
      </c>
      <c r="D624" t="s">
        <v>472</v>
      </c>
      <c r="E624" t="s">
        <v>473</v>
      </c>
      <c r="F624" t="s">
        <v>123</v>
      </c>
      <c r="G624">
        <v>1</v>
      </c>
      <c r="H624" s="3">
        <v>2410</v>
      </c>
      <c r="I624" s="3">
        <v>2410</v>
      </c>
      <c r="J624" t="s">
        <v>76</v>
      </c>
      <c r="K624" t="s">
        <v>83</v>
      </c>
      <c r="L624" s="3">
        <f>SUM(SalesData3[Sales Amount (PKR)])</f>
        <v>11946830</v>
      </c>
    </row>
    <row r="625" spans="1:12" ht="14.25" customHeight="1" x14ac:dyDescent="0.45">
      <c r="A625" t="s">
        <v>921</v>
      </c>
      <c r="B625" s="2" t="s">
        <v>430</v>
      </c>
      <c r="C625" t="s">
        <v>80</v>
      </c>
      <c r="D625" t="s">
        <v>472</v>
      </c>
      <c r="E625" t="s">
        <v>473</v>
      </c>
      <c r="F625" t="s">
        <v>107</v>
      </c>
      <c r="G625">
        <v>1</v>
      </c>
      <c r="H625" s="3">
        <v>2410</v>
      </c>
      <c r="I625" s="3">
        <v>2410</v>
      </c>
      <c r="J625" t="s">
        <v>82</v>
      </c>
      <c r="K625" t="s">
        <v>93</v>
      </c>
      <c r="L625" s="3">
        <f>SUM(SalesData3[Sales Amount (PKR)])</f>
        <v>11946830</v>
      </c>
    </row>
    <row r="626" spans="1:12" ht="14.25" customHeight="1" x14ac:dyDescent="0.45">
      <c r="A626" t="s">
        <v>922</v>
      </c>
      <c r="B626" s="2" t="s">
        <v>367</v>
      </c>
      <c r="C626" t="s">
        <v>100</v>
      </c>
      <c r="D626" t="s">
        <v>472</v>
      </c>
      <c r="E626" t="s">
        <v>473</v>
      </c>
      <c r="F626" t="s">
        <v>90</v>
      </c>
      <c r="G626">
        <v>1</v>
      </c>
      <c r="H626" s="3">
        <v>2410</v>
      </c>
      <c r="I626" s="3">
        <v>2410</v>
      </c>
      <c r="J626" t="s">
        <v>82</v>
      </c>
      <c r="K626" t="s">
        <v>83</v>
      </c>
      <c r="L626" s="3">
        <f>SUM(SalesData3[Sales Amount (PKR)])</f>
        <v>11946830</v>
      </c>
    </row>
    <row r="627" spans="1:12" ht="14.25" customHeight="1" x14ac:dyDescent="0.45">
      <c r="A627" t="s">
        <v>923</v>
      </c>
      <c r="B627" s="2" t="s">
        <v>307</v>
      </c>
      <c r="C627" t="s">
        <v>80</v>
      </c>
      <c r="D627" t="s">
        <v>472</v>
      </c>
      <c r="E627" t="s">
        <v>473</v>
      </c>
      <c r="F627" t="s">
        <v>107</v>
      </c>
      <c r="G627">
        <v>1</v>
      </c>
      <c r="H627" s="3">
        <v>2400</v>
      </c>
      <c r="I627" s="3">
        <v>2400</v>
      </c>
      <c r="J627" t="s">
        <v>82</v>
      </c>
      <c r="K627" t="s">
        <v>83</v>
      </c>
      <c r="L627" s="3">
        <f>SUM(SalesData3[Sales Amount (PKR)])</f>
        <v>11946830</v>
      </c>
    </row>
    <row r="628" spans="1:12" ht="14.25" customHeight="1" x14ac:dyDescent="0.45">
      <c r="A628" t="s">
        <v>924</v>
      </c>
      <c r="B628" s="2" t="s">
        <v>320</v>
      </c>
      <c r="C628" t="s">
        <v>96</v>
      </c>
      <c r="D628" t="s">
        <v>472</v>
      </c>
      <c r="E628" t="s">
        <v>473</v>
      </c>
      <c r="F628" t="s">
        <v>97</v>
      </c>
      <c r="G628">
        <v>1</v>
      </c>
      <c r="H628" s="3">
        <v>2400</v>
      </c>
      <c r="I628" s="3">
        <v>2400</v>
      </c>
      <c r="J628" t="s">
        <v>82</v>
      </c>
      <c r="K628" t="s">
        <v>93</v>
      </c>
      <c r="L628" s="3">
        <f>SUM(SalesData3[Sales Amount (PKR)])</f>
        <v>11946830</v>
      </c>
    </row>
    <row r="629" spans="1:12" ht="14.25" customHeight="1" x14ac:dyDescent="0.45">
      <c r="A629" t="s">
        <v>925</v>
      </c>
      <c r="B629" s="2" t="s">
        <v>122</v>
      </c>
      <c r="C629" t="s">
        <v>100</v>
      </c>
      <c r="D629" t="s">
        <v>472</v>
      </c>
      <c r="E629" t="s">
        <v>557</v>
      </c>
      <c r="F629" t="s">
        <v>81</v>
      </c>
      <c r="G629">
        <v>2</v>
      </c>
      <c r="H629" s="3">
        <v>1200</v>
      </c>
      <c r="I629" s="3">
        <v>2400</v>
      </c>
      <c r="J629" t="s">
        <v>82</v>
      </c>
      <c r="K629" t="s">
        <v>83</v>
      </c>
      <c r="L629" s="3">
        <f>SUM(SalesData3[Sales Amount (PKR)])</f>
        <v>11946830</v>
      </c>
    </row>
    <row r="630" spans="1:12" ht="14.25" customHeight="1" x14ac:dyDescent="0.45">
      <c r="A630" t="s">
        <v>926</v>
      </c>
      <c r="B630" s="2" t="s">
        <v>428</v>
      </c>
      <c r="C630" t="s">
        <v>96</v>
      </c>
      <c r="D630" t="s">
        <v>472</v>
      </c>
      <c r="E630" t="s">
        <v>473</v>
      </c>
      <c r="F630" t="s">
        <v>123</v>
      </c>
      <c r="G630">
        <v>1</v>
      </c>
      <c r="H630" s="3">
        <v>2390</v>
      </c>
      <c r="I630" s="3">
        <v>2390</v>
      </c>
      <c r="J630" t="s">
        <v>82</v>
      </c>
      <c r="K630" t="s">
        <v>77</v>
      </c>
      <c r="L630" s="3">
        <f>SUM(SalesData3[Sales Amount (PKR)])</f>
        <v>11946830</v>
      </c>
    </row>
    <row r="631" spans="1:12" ht="14.25" customHeight="1" x14ac:dyDescent="0.45">
      <c r="A631" t="s">
        <v>927</v>
      </c>
      <c r="B631" s="2" t="s">
        <v>632</v>
      </c>
      <c r="C631" t="s">
        <v>96</v>
      </c>
      <c r="D631" t="s">
        <v>472</v>
      </c>
      <c r="E631" t="s">
        <v>473</v>
      </c>
      <c r="F631" t="s">
        <v>90</v>
      </c>
      <c r="G631">
        <v>1</v>
      </c>
      <c r="H631" s="3">
        <v>2380</v>
      </c>
      <c r="I631" s="3">
        <v>2380</v>
      </c>
      <c r="J631" t="s">
        <v>76</v>
      </c>
      <c r="K631" t="s">
        <v>83</v>
      </c>
      <c r="L631" s="3">
        <f>SUM(SalesData3[Sales Amount (PKR)])</f>
        <v>11946830</v>
      </c>
    </row>
    <row r="632" spans="1:12" ht="14.25" customHeight="1" x14ac:dyDescent="0.45">
      <c r="A632" t="s">
        <v>928</v>
      </c>
      <c r="B632" s="2" t="s">
        <v>106</v>
      </c>
      <c r="C632" t="s">
        <v>89</v>
      </c>
      <c r="D632" t="s">
        <v>472</v>
      </c>
      <c r="E632" t="s">
        <v>473</v>
      </c>
      <c r="F632" t="s">
        <v>86</v>
      </c>
      <c r="G632">
        <v>1</v>
      </c>
      <c r="H632" s="3">
        <v>2380</v>
      </c>
      <c r="I632" s="3">
        <v>2380</v>
      </c>
      <c r="J632" t="s">
        <v>76</v>
      </c>
      <c r="K632" t="s">
        <v>93</v>
      </c>
      <c r="L632" s="3">
        <f>SUM(SalesData3[Sales Amount (PKR)])</f>
        <v>11946830</v>
      </c>
    </row>
    <row r="633" spans="1:12" ht="14.25" customHeight="1" x14ac:dyDescent="0.45">
      <c r="A633" t="s">
        <v>929</v>
      </c>
      <c r="B633" s="2" t="s">
        <v>303</v>
      </c>
      <c r="C633" t="s">
        <v>89</v>
      </c>
      <c r="D633" t="s">
        <v>472</v>
      </c>
      <c r="E633" t="s">
        <v>473</v>
      </c>
      <c r="F633" t="s">
        <v>140</v>
      </c>
      <c r="G633">
        <v>1</v>
      </c>
      <c r="H633" s="3">
        <v>2360</v>
      </c>
      <c r="I633" s="3">
        <v>2360</v>
      </c>
      <c r="J633" t="s">
        <v>82</v>
      </c>
      <c r="K633" t="s">
        <v>77</v>
      </c>
      <c r="L633" s="3">
        <f>SUM(SalesData3[Sales Amount (PKR)])</f>
        <v>11946830</v>
      </c>
    </row>
    <row r="634" spans="1:12" ht="14.25" customHeight="1" x14ac:dyDescent="0.45">
      <c r="A634" t="s">
        <v>930</v>
      </c>
      <c r="B634" s="2" t="s">
        <v>258</v>
      </c>
      <c r="C634" t="s">
        <v>96</v>
      </c>
      <c r="D634" t="s">
        <v>472</v>
      </c>
      <c r="E634" t="s">
        <v>473</v>
      </c>
      <c r="F634" t="s">
        <v>97</v>
      </c>
      <c r="G634">
        <v>1</v>
      </c>
      <c r="H634" s="3">
        <v>2360</v>
      </c>
      <c r="I634" s="3">
        <v>2360</v>
      </c>
      <c r="J634" t="s">
        <v>76</v>
      </c>
      <c r="K634" t="s">
        <v>83</v>
      </c>
      <c r="L634" s="3">
        <f>SUM(SalesData3[Sales Amount (PKR)])</f>
        <v>11946830</v>
      </c>
    </row>
    <row r="635" spans="1:12" ht="14.25" customHeight="1" x14ac:dyDescent="0.45">
      <c r="A635" t="s">
        <v>931</v>
      </c>
      <c r="B635" s="2" t="s">
        <v>164</v>
      </c>
      <c r="C635" t="s">
        <v>96</v>
      </c>
      <c r="D635" t="s">
        <v>472</v>
      </c>
      <c r="E635" t="s">
        <v>557</v>
      </c>
      <c r="F635" t="s">
        <v>123</v>
      </c>
      <c r="G635">
        <v>2</v>
      </c>
      <c r="H635" s="3">
        <v>1180</v>
      </c>
      <c r="I635" s="3">
        <v>2360</v>
      </c>
      <c r="J635" t="s">
        <v>76</v>
      </c>
      <c r="K635" t="s">
        <v>83</v>
      </c>
      <c r="L635" s="3">
        <f>SUM(SalesData3[Sales Amount (PKR)])</f>
        <v>11946830</v>
      </c>
    </row>
    <row r="636" spans="1:12" ht="14.25" customHeight="1" x14ac:dyDescent="0.45">
      <c r="A636" t="s">
        <v>932</v>
      </c>
      <c r="B636" s="2" t="s">
        <v>332</v>
      </c>
      <c r="C636" t="s">
        <v>96</v>
      </c>
      <c r="D636" t="s">
        <v>472</v>
      </c>
      <c r="E636" t="s">
        <v>473</v>
      </c>
      <c r="F636" t="s">
        <v>81</v>
      </c>
      <c r="G636">
        <v>1</v>
      </c>
      <c r="H636" s="3">
        <v>2350</v>
      </c>
      <c r="I636" s="3">
        <v>2350</v>
      </c>
      <c r="J636" t="s">
        <v>76</v>
      </c>
      <c r="K636" t="s">
        <v>77</v>
      </c>
      <c r="L636" s="3">
        <f>SUM(SalesData3[Sales Amount (PKR)])</f>
        <v>11946830</v>
      </c>
    </row>
    <row r="637" spans="1:12" ht="14.25" customHeight="1" x14ac:dyDescent="0.45">
      <c r="A637" t="s">
        <v>933</v>
      </c>
      <c r="B637" s="2" t="s">
        <v>693</v>
      </c>
      <c r="C637" t="s">
        <v>89</v>
      </c>
      <c r="D637" t="s">
        <v>472</v>
      </c>
      <c r="E637" t="s">
        <v>473</v>
      </c>
      <c r="F637" t="s">
        <v>123</v>
      </c>
      <c r="G637">
        <v>1</v>
      </c>
      <c r="H637" s="3">
        <v>2340</v>
      </c>
      <c r="I637" s="3">
        <v>2340</v>
      </c>
      <c r="J637" t="s">
        <v>82</v>
      </c>
      <c r="K637" t="s">
        <v>77</v>
      </c>
      <c r="L637" s="3">
        <f>SUM(SalesData3[Sales Amount (PKR)])</f>
        <v>11946830</v>
      </c>
    </row>
    <row r="638" spans="1:12" ht="14.25" customHeight="1" x14ac:dyDescent="0.45">
      <c r="A638" t="s">
        <v>934</v>
      </c>
      <c r="B638" s="2" t="s">
        <v>264</v>
      </c>
      <c r="C638" t="s">
        <v>80</v>
      </c>
      <c r="D638" t="s">
        <v>472</v>
      </c>
      <c r="E638" t="s">
        <v>473</v>
      </c>
      <c r="F638" t="s">
        <v>131</v>
      </c>
      <c r="G638">
        <v>1</v>
      </c>
      <c r="H638" s="3">
        <v>2340</v>
      </c>
      <c r="I638" s="3">
        <v>2340</v>
      </c>
      <c r="J638" t="s">
        <v>76</v>
      </c>
      <c r="K638" t="s">
        <v>83</v>
      </c>
      <c r="L638" s="3">
        <f>SUM(SalesData3[Sales Amount (PKR)])</f>
        <v>11946830</v>
      </c>
    </row>
    <row r="639" spans="1:12" ht="14.25" customHeight="1" x14ac:dyDescent="0.45">
      <c r="A639" t="s">
        <v>935</v>
      </c>
      <c r="B639" s="2" t="s">
        <v>436</v>
      </c>
      <c r="C639" t="s">
        <v>89</v>
      </c>
      <c r="D639" t="s">
        <v>472</v>
      </c>
      <c r="E639" t="s">
        <v>557</v>
      </c>
      <c r="F639" t="s">
        <v>140</v>
      </c>
      <c r="G639">
        <v>2</v>
      </c>
      <c r="H639" s="3">
        <v>1170</v>
      </c>
      <c r="I639" s="3">
        <v>2340</v>
      </c>
      <c r="J639" t="s">
        <v>76</v>
      </c>
      <c r="K639" t="s">
        <v>93</v>
      </c>
      <c r="L639" s="3">
        <f>SUM(SalesData3[Sales Amount (PKR)])</f>
        <v>11946830</v>
      </c>
    </row>
    <row r="640" spans="1:12" ht="14.25" customHeight="1" x14ac:dyDescent="0.45">
      <c r="A640" t="s">
        <v>936</v>
      </c>
      <c r="B640" s="2" t="s">
        <v>127</v>
      </c>
      <c r="C640" t="s">
        <v>96</v>
      </c>
      <c r="D640" t="s">
        <v>472</v>
      </c>
      <c r="E640" t="s">
        <v>473</v>
      </c>
      <c r="F640" t="s">
        <v>90</v>
      </c>
      <c r="G640">
        <v>1</v>
      </c>
      <c r="H640" s="3">
        <v>2330</v>
      </c>
      <c r="I640" s="3">
        <v>2330</v>
      </c>
      <c r="J640" t="s">
        <v>76</v>
      </c>
      <c r="K640" t="s">
        <v>77</v>
      </c>
      <c r="L640" s="3">
        <f>SUM(SalesData3[Sales Amount (PKR)])</f>
        <v>11946830</v>
      </c>
    </row>
    <row r="641" spans="1:12" ht="14.25" customHeight="1" x14ac:dyDescent="0.45">
      <c r="A641" t="s">
        <v>937</v>
      </c>
      <c r="B641" s="2" t="s">
        <v>919</v>
      </c>
      <c r="C641" t="s">
        <v>80</v>
      </c>
      <c r="D641" t="s">
        <v>472</v>
      </c>
      <c r="E641" t="s">
        <v>473</v>
      </c>
      <c r="F641" t="s">
        <v>81</v>
      </c>
      <c r="G641">
        <v>1</v>
      </c>
      <c r="H641" s="3">
        <v>2330</v>
      </c>
      <c r="I641" s="3">
        <v>2330</v>
      </c>
      <c r="J641" t="s">
        <v>82</v>
      </c>
      <c r="K641" t="s">
        <v>77</v>
      </c>
      <c r="L641" s="3">
        <f>SUM(SalesData3[Sales Amount (PKR)])</f>
        <v>11946830</v>
      </c>
    </row>
    <row r="642" spans="1:12" ht="14.25" customHeight="1" x14ac:dyDescent="0.45">
      <c r="A642" t="s">
        <v>938</v>
      </c>
      <c r="B642" s="2" t="s">
        <v>513</v>
      </c>
      <c r="C642" t="s">
        <v>89</v>
      </c>
      <c r="D642" t="s">
        <v>472</v>
      </c>
      <c r="E642" t="s">
        <v>473</v>
      </c>
      <c r="F642" t="s">
        <v>86</v>
      </c>
      <c r="G642">
        <v>1</v>
      </c>
      <c r="H642" s="3">
        <v>2330</v>
      </c>
      <c r="I642" s="3">
        <v>2330</v>
      </c>
      <c r="J642" t="s">
        <v>76</v>
      </c>
      <c r="K642" t="s">
        <v>83</v>
      </c>
      <c r="L642" s="3">
        <f>SUM(SalesData3[Sales Amount (PKR)])</f>
        <v>11946830</v>
      </c>
    </row>
    <row r="643" spans="1:12" ht="14.25" customHeight="1" x14ac:dyDescent="0.45">
      <c r="A643" t="s">
        <v>939</v>
      </c>
      <c r="B643" s="2" t="s">
        <v>436</v>
      </c>
      <c r="C643" t="s">
        <v>72</v>
      </c>
      <c r="D643" t="s">
        <v>472</v>
      </c>
      <c r="E643" t="s">
        <v>473</v>
      </c>
      <c r="F643" t="s">
        <v>75</v>
      </c>
      <c r="G643">
        <v>1</v>
      </c>
      <c r="H643" s="3">
        <v>2320</v>
      </c>
      <c r="I643" s="3">
        <v>2320</v>
      </c>
      <c r="J643" t="s">
        <v>76</v>
      </c>
      <c r="K643" t="s">
        <v>83</v>
      </c>
      <c r="L643" s="3">
        <f>SUM(SalesData3[Sales Amount (PKR)])</f>
        <v>11946830</v>
      </c>
    </row>
    <row r="644" spans="1:12" ht="14.25" customHeight="1" x14ac:dyDescent="0.45">
      <c r="A644" t="s">
        <v>940</v>
      </c>
      <c r="B644" s="2" t="s">
        <v>404</v>
      </c>
      <c r="C644" t="s">
        <v>96</v>
      </c>
      <c r="D644" t="s">
        <v>472</v>
      </c>
      <c r="E644" t="s">
        <v>473</v>
      </c>
      <c r="F644" t="s">
        <v>81</v>
      </c>
      <c r="G644">
        <v>1</v>
      </c>
      <c r="H644" s="3">
        <v>2320</v>
      </c>
      <c r="I644" s="3">
        <v>2320</v>
      </c>
      <c r="J644" t="s">
        <v>76</v>
      </c>
      <c r="K644" t="s">
        <v>83</v>
      </c>
      <c r="L644" s="3">
        <f>SUM(SalesData3[Sales Amount (PKR)])</f>
        <v>11946830</v>
      </c>
    </row>
    <row r="645" spans="1:12" ht="14.25" customHeight="1" x14ac:dyDescent="0.45">
      <c r="A645" t="s">
        <v>941</v>
      </c>
      <c r="B645" s="2" t="s">
        <v>439</v>
      </c>
      <c r="C645" t="s">
        <v>96</v>
      </c>
      <c r="D645" t="s">
        <v>472</v>
      </c>
      <c r="E645" t="s">
        <v>557</v>
      </c>
      <c r="F645" t="s">
        <v>97</v>
      </c>
      <c r="G645">
        <v>2</v>
      </c>
      <c r="H645" s="3">
        <v>1160</v>
      </c>
      <c r="I645" s="3">
        <v>2320</v>
      </c>
      <c r="J645" t="s">
        <v>82</v>
      </c>
      <c r="K645" t="s">
        <v>77</v>
      </c>
      <c r="L645" s="3">
        <f>SUM(SalesData3[Sales Amount (PKR)])</f>
        <v>11946830</v>
      </c>
    </row>
    <row r="646" spans="1:12" ht="14.25" customHeight="1" x14ac:dyDescent="0.45">
      <c r="A646" t="s">
        <v>942</v>
      </c>
      <c r="B646" s="2" t="s">
        <v>113</v>
      </c>
      <c r="C646" t="s">
        <v>72</v>
      </c>
      <c r="D646" t="s">
        <v>472</v>
      </c>
      <c r="E646" t="s">
        <v>473</v>
      </c>
      <c r="F646" t="s">
        <v>123</v>
      </c>
      <c r="G646">
        <v>1</v>
      </c>
      <c r="H646" s="3">
        <v>2320</v>
      </c>
      <c r="I646" s="3">
        <v>2320</v>
      </c>
      <c r="J646" t="s">
        <v>82</v>
      </c>
      <c r="K646" t="s">
        <v>77</v>
      </c>
      <c r="L646" s="3">
        <f>SUM(SalesData3[Sales Amount (PKR)])</f>
        <v>11946830</v>
      </c>
    </row>
    <row r="647" spans="1:12" ht="14.25" customHeight="1" x14ac:dyDescent="0.45">
      <c r="A647" t="s">
        <v>943</v>
      </c>
      <c r="B647" s="2" t="s">
        <v>391</v>
      </c>
      <c r="C647" t="s">
        <v>89</v>
      </c>
      <c r="D647" t="s">
        <v>472</v>
      </c>
      <c r="E647" t="s">
        <v>473</v>
      </c>
      <c r="F647" t="s">
        <v>86</v>
      </c>
      <c r="G647">
        <v>1</v>
      </c>
      <c r="H647" s="3">
        <v>2310</v>
      </c>
      <c r="I647" s="3">
        <v>2310</v>
      </c>
      <c r="J647" t="s">
        <v>76</v>
      </c>
      <c r="K647" t="s">
        <v>83</v>
      </c>
      <c r="L647" s="3">
        <f>SUM(SalesData3[Sales Amount (PKR)])</f>
        <v>11946830</v>
      </c>
    </row>
    <row r="648" spans="1:12" ht="14.25" customHeight="1" x14ac:dyDescent="0.45">
      <c r="A648" t="s">
        <v>944</v>
      </c>
      <c r="B648" s="2" t="s">
        <v>509</v>
      </c>
      <c r="C648" t="s">
        <v>80</v>
      </c>
      <c r="D648" t="s">
        <v>472</v>
      </c>
      <c r="E648" t="s">
        <v>473</v>
      </c>
      <c r="F648" t="s">
        <v>131</v>
      </c>
      <c r="G648">
        <v>1</v>
      </c>
      <c r="H648" s="3">
        <v>2310</v>
      </c>
      <c r="I648" s="3">
        <v>2310</v>
      </c>
      <c r="J648" t="s">
        <v>76</v>
      </c>
      <c r="K648" t="s">
        <v>93</v>
      </c>
      <c r="L648" s="3">
        <f>SUM(SalesData3[Sales Amount (PKR)])</f>
        <v>11946830</v>
      </c>
    </row>
    <row r="649" spans="1:12" ht="14.25" customHeight="1" x14ac:dyDescent="0.45">
      <c r="A649" t="s">
        <v>945</v>
      </c>
      <c r="B649" s="2" t="s">
        <v>242</v>
      </c>
      <c r="C649" t="s">
        <v>89</v>
      </c>
      <c r="D649" t="s">
        <v>398</v>
      </c>
      <c r="E649" t="s">
        <v>448</v>
      </c>
      <c r="F649" t="s">
        <v>107</v>
      </c>
      <c r="G649">
        <v>1</v>
      </c>
      <c r="H649" s="3">
        <v>2290</v>
      </c>
      <c r="I649" s="3">
        <v>2290</v>
      </c>
      <c r="J649" t="s">
        <v>82</v>
      </c>
      <c r="K649" t="s">
        <v>77</v>
      </c>
      <c r="L649" s="3">
        <f>SUM(SalesData3[Sales Amount (PKR)])</f>
        <v>11946830</v>
      </c>
    </row>
    <row r="650" spans="1:12" ht="14.25" customHeight="1" x14ac:dyDescent="0.45">
      <c r="A650" t="s">
        <v>946</v>
      </c>
      <c r="B650" s="2" t="s">
        <v>295</v>
      </c>
      <c r="C650" t="s">
        <v>96</v>
      </c>
      <c r="D650" t="s">
        <v>398</v>
      </c>
      <c r="E650" t="s">
        <v>448</v>
      </c>
      <c r="F650" t="s">
        <v>90</v>
      </c>
      <c r="G650">
        <v>1</v>
      </c>
      <c r="H650" s="3">
        <v>2280</v>
      </c>
      <c r="I650" s="3">
        <v>2280</v>
      </c>
      <c r="J650" t="s">
        <v>82</v>
      </c>
      <c r="K650" t="s">
        <v>83</v>
      </c>
      <c r="L650" s="3">
        <f>SUM(SalesData3[Sales Amount (PKR)])</f>
        <v>11946830</v>
      </c>
    </row>
    <row r="651" spans="1:12" ht="14.25" customHeight="1" x14ac:dyDescent="0.45">
      <c r="A651" t="s">
        <v>947</v>
      </c>
      <c r="B651" s="2" t="s">
        <v>156</v>
      </c>
      <c r="C651" t="s">
        <v>100</v>
      </c>
      <c r="D651" t="s">
        <v>398</v>
      </c>
      <c r="E651" t="s">
        <v>448</v>
      </c>
      <c r="F651" t="s">
        <v>97</v>
      </c>
      <c r="G651">
        <v>1</v>
      </c>
      <c r="H651" s="3">
        <v>2270</v>
      </c>
      <c r="I651" s="3">
        <v>2270</v>
      </c>
      <c r="J651" t="s">
        <v>76</v>
      </c>
      <c r="K651" t="s">
        <v>83</v>
      </c>
      <c r="L651" s="3">
        <f>SUM(SalesData3[Sales Amount (PKR)])</f>
        <v>11946830</v>
      </c>
    </row>
    <row r="652" spans="1:12" ht="14.25" customHeight="1" x14ac:dyDescent="0.45">
      <c r="A652" t="s">
        <v>948</v>
      </c>
      <c r="B652" s="2" t="s">
        <v>562</v>
      </c>
      <c r="C652" t="s">
        <v>96</v>
      </c>
      <c r="D652" t="s">
        <v>398</v>
      </c>
      <c r="E652" t="s">
        <v>448</v>
      </c>
      <c r="F652" t="s">
        <v>81</v>
      </c>
      <c r="G652">
        <v>1</v>
      </c>
      <c r="H652" s="3">
        <v>2260</v>
      </c>
      <c r="I652" s="3">
        <v>2260</v>
      </c>
      <c r="J652" t="s">
        <v>76</v>
      </c>
      <c r="K652" t="s">
        <v>93</v>
      </c>
      <c r="L652" s="3">
        <f>SUM(SalesData3[Sales Amount (PKR)])</f>
        <v>11946830</v>
      </c>
    </row>
    <row r="653" spans="1:12" ht="14.25" customHeight="1" x14ac:dyDescent="0.45">
      <c r="A653" t="s">
        <v>949</v>
      </c>
      <c r="B653" s="2" t="s">
        <v>950</v>
      </c>
      <c r="C653" t="s">
        <v>100</v>
      </c>
      <c r="D653" t="s">
        <v>398</v>
      </c>
      <c r="E653" t="s">
        <v>448</v>
      </c>
      <c r="F653" t="s">
        <v>81</v>
      </c>
      <c r="G653">
        <v>1</v>
      </c>
      <c r="H653" s="3">
        <v>2260</v>
      </c>
      <c r="I653" s="3">
        <v>2260</v>
      </c>
      <c r="J653" t="s">
        <v>82</v>
      </c>
      <c r="K653" t="s">
        <v>93</v>
      </c>
      <c r="L653" s="3">
        <f>SUM(SalesData3[Sales Amount (PKR)])</f>
        <v>11946830</v>
      </c>
    </row>
    <row r="654" spans="1:12" ht="14.25" customHeight="1" x14ac:dyDescent="0.45">
      <c r="A654" t="s">
        <v>951</v>
      </c>
      <c r="B654" s="2" t="s">
        <v>467</v>
      </c>
      <c r="C654" t="s">
        <v>100</v>
      </c>
      <c r="D654" t="s">
        <v>398</v>
      </c>
      <c r="E654" t="s">
        <v>448</v>
      </c>
      <c r="F654" t="s">
        <v>117</v>
      </c>
      <c r="G654">
        <v>1</v>
      </c>
      <c r="H654" s="3">
        <v>2260</v>
      </c>
      <c r="I654" s="3">
        <v>2260</v>
      </c>
      <c r="J654" t="s">
        <v>76</v>
      </c>
      <c r="K654" t="s">
        <v>93</v>
      </c>
      <c r="L654" s="3">
        <f>SUM(SalesData3[Sales Amount (PKR)])</f>
        <v>11946830</v>
      </c>
    </row>
    <row r="655" spans="1:12" ht="14.25" customHeight="1" x14ac:dyDescent="0.45">
      <c r="A655" t="s">
        <v>952</v>
      </c>
      <c r="B655" s="2" t="s">
        <v>869</v>
      </c>
      <c r="C655" t="s">
        <v>96</v>
      </c>
      <c r="D655" t="s">
        <v>398</v>
      </c>
      <c r="E655" t="s">
        <v>448</v>
      </c>
      <c r="F655" t="s">
        <v>81</v>
      </c>
      <c r="G655">
        <v>1</v>
      </c>
      <c r="H655" s="3">
        <v>2260</v>
      </c>
      <c r="I655" s="3">
        <v>2260</v>
      </c>
      <c r="J655" t="s">
        <v>76</v>
      </c>
      <c r="K655" t="s">
        <v>93</v>
      </c>
      <c r="L655" s="3">
        <f>SUM(SalesData3[Sales Amount (PKR)])</f>
        <v>11946830</v>
      </c>
    </row>
    <row r="656" spans="1:12" ht="14.25" customHeight="1" x14ac:dyDescent="0.45">
      <c r="A656" t="s">
        <v>953</v>
      </c>
      <c r="B656" s="2" t="s">
        <v>513</v>
      </c>
      <c r="C656" t="s">
        <v>96</v>
      </c>
      <c r="D656" t="s">
        <v>398</v>
      </c>
      <c r="E656" t="s">
        <v>448</v>
      </c>
      <c r="F656" t="s">
        <v>140</v>
      </c>
      <c r="G656">
        <v>1</v>
      </c>
      <c r="H656" s="3">
        <v>2260</v>
      </c>
      <c r="I656" s="3">
        <v>2260</v>
      </c>
      <c r="J656" t="s">
        <v>82</v>
      </c>
      <c r="K656" t="s">
        <v>77</v>
      </c>
      <c r="L656" s="3">
        <f>SUM(SalesData3[Sales Amount (PKR)])</f>
        <v>11946830</v>
      </c>
    </row>
    <row r="657" spans="1:12" ht="14.25" customHeight="1" x14ac:dyDescent="0.45">
      <c r="A657" t="s">
        <v>954</v>
      </c>
      <c r="B657" s="2" t="s">
        <v>583</v>
      </c>
      <c r="C657" t="s">
        <v>96</v>
      </c>
      <c r="D657" t="s">
        <v>398</v>
      </c>
      <c r="E657" t="s">
        <v>448</v>
      </c>
      <c r="F657" t="s">
        <v>97</v>
      </c>
      <c r="G657">
        <v>1</v>
      </c>
      <c r="H657" s="3">
        <v>2260</v>
      </c>
      <c r="I657" s="3">
        <v>2260</v>
      </c>
      <c r="J657" t="s">
        <v>76</v>
      </c>
      <c r="K657" t="s">
        <v>93</v>
      </c>
      <c r="L657" s="3">
        <f>SUM(SalesData3[Sales Amount (PKR)])</f>
        <v>11946830</v>
      </c>
    </row>
    <row r="658" spans="1:12" ht="14.25" customHeight="1" x14ac:dyDescent="0.45">
      <c r="A658" t="s">
        <v>955</v>
      </c>
      <c r="B658" s="2" t="s">
        <v>171</v>
      </c>
      <c r="C658" t="s">
        <v>96</v>
      </c>
      <c r="D658" t="s">
        <v>398</v>
      </c>
      <c r="E658" t="s">
        <v>448</v>
      </c>
      <c r="F658" t="s">
        <v>140</v>
      </c>
      <c r="G658">
        <v>1</v>
      </c>
      <c r="H658" s="3">
        <v>2250</v>
      </c>
      <c r="I658" s="3">
        <v>2250</v>
      </c>
      <c r="J658" t="s">
        <v>76</v>
      </c>
      <c r="K658" t="s">
        <v>83</v>
      </c>
      <c r="L658" s="3">
        <f>SUM(SalesData3[Sales Amount (PKR)])</f>
        <v>11946830</v>
      </c>
    </row>
    <row r="659" spans="1:12" ht="14.25" customHeight="1" x14ac:dyDescent="0.45">
      <c r="A659" t="s">
        <v>956</v>
      </c>
      <c r="B659" s="2" t="s">
        <v>177</v>
      </c>
      <c r="C659" t="s">
        <v>96</v>
      </c>
      <c r="D659" t="s">
        <v>398</v>
      </c>
      <c r="E659" t="s">
        <v>448</v>
      </c>
      <c r="F659" t="s">
        <v>81</v>
      </c>
      <c r="G659">
        <v>1</v>
      </c>
      <c r="H659" s="3">
        <v>2240</v>
      </c>
      <c r="I659" s="3">
        <v>2240</v>
      </c>
      <c r="J659" t="s">
        <v>82</v>
      </c>
      <c r="K659" t="s">
        <v>77</v>
      </c>
      <c r="L659" s="3">
        <f>SUM(SalesData3[Sales Amount (PKR)])</f>
        <v>11946830</v>
      </c>
    </row>
    <row r="660" spans="1:12" ht="14.25" customHeight="1" x14ac:dyDescent="0.45">
      <c r="A660" t="s">
        <v>957</v>
      </c>
      <c r="B660" s="2" t="s">
        <v>169</v>
      </c>
      <c r="C660" t="s">
        <v>89</v>
      </c>
      <c r="D660" t="s">
        <v>398</v>
      </c>
      <c r="E660" t="s">
        <v>448</v>
      </c>
      <c r="F660" t="s">
        <v>140</v>
      </c>
      <c r="G660">
        <v>1</v>
      </c>
      <c r="H660" s="3">
        <v>2240</v>
      </c>
      <c r="I660" s="3">
        <v>2240</v>
      </c>
      <c r="J660" t="s">
        <v>76</v>
      </c>
      <c r="K660" t="s">
        <v>77</v>
      </c>
      <c r="L660" s="3">
        <f>SUM(SalesData3[Sales Amount (PKR)])</f>
        <v>11946830</v>
      </c>
    </row>
    <row r="661" spans="1:12" ht="14.25" customHeight="1" x14ac:dyDescent="0.45">
      <c r="A661" t="s">
        <v>958</v>
      </c>
      <c r="B661" s="2" t="s">
        <v>162</v>
      </c>
      <c r="C661" t="s">
        <v>100</v>
      </c>
      <c r="D661" t="s">
        <v>398</v>
      </c>
      <c r="E661" t="s">
        <v>448</v>
      </c>
      <c r="F661" t="s">
        <v>90</v>
      </c>
      <c r="G661">
        <v>1</v>
      </c>
      <c r="H661" s="3">
        <v>2240</v>
      </c>
      <c r="I661" s="3">
        <v>2240</v>
      </c>
      <c r="J661" t="s">
        <v>82</v>
      </c>
      <c r="K661" t="s">
        <v>77</v>
      </c>
      <c r="L661" s="3">
        <f>SUM(SalesData3[Sales Amount (PKR)])</f>
        <v>11946830</v>
      </c>
    </row>
    <row r="662" spans="1:12" ht="14.25" customHeight="1" x14ac:dyDescent="0.45">
      <c r="A662" t="s">
        <v>959</v>
      </c>
      <c r="B662" s="2" t="s">
        <v>234</v>
      </c>
      <c r="C662" t="s">
        <v>72</v>
      </c>
      <c r="D662" t="s">
        <v>398</v>
      </c>
      <c r="E662" t="s">
        <v>448</v>
      </c>
      <c r="F662" t="s">
        <v>123</v>
      </c>
      <c r="G662">
        <v>1</v>
      </c>
      <c r="H662" s="3">
        <v>2230</v>
      </c>
      <c r="I662" s="3">
        <v>2230</v>
      </c>
      <c r="J662" t="s">
        <v>76</v>
      </c>
      <c r="K662" t="s">
        <v>77</v>
      </c>
      <c r="L662" s="3">
        <f>SUM(SalesData3[Sales Amount (PKR)])</f>
        <v>11946830</v>
      </c>
    </row>
    <row r="663" spans="1:12" ht="14.25" customHeight="1" x14ac:dyDescent="0.45">
      <c r="A663" t="s">
        <v>960</v>
      </c>
      <c r="B663" s="2" t="s">
        <v>412</v>
      </c>
      <c r="C663" t="s">
        <v>96</v>
      </c>
      <c r="D663" t="s">
        <v>398</v>
      </c>
      <c r="E663" t="s">
        <v>448</v>
      </c>
      <c r="F663" t="s">
        <v>131</v>
      </c>
      <c r="G663">
        <v>1</v>
      </c>
      <c r="H663" s="3">
        <v>2230</v>
      </c>
      <c r="I663" s="3">
        <v>2230</v>
      </c>
      <c r="J663" t="s">
        <v>76</v>
      </c>
      <c r="K663" t="s">
        <v>77</v>
      </c>
      <c r="L663" s="3">
        <f>SUM(SalesData3[Sales Amount (PKR)])</f>
        <v>11946830</v>
      </c>
    </row>
    <row r="664" spans="1:12" ht="14.25" customHeight="1" x14ac:dyDescent="0.45">
      <c r="A664" t="s">
        <v>961</v>
      </c>
      <c r="B664" s="2" t="s">
        <v>256</v>
      </c>
      <c r="C664" t="s">
        <v>89</v>
      </c>
      <c r="D664" t="s">
        <v>398</v>
      </c>
      <c r="E664" t="s">
        <v>448</v>
      </c>
      <c r="F664" t="s">
        <v>140</v>
      </c>
      <c r="G664">
        <v>1</v>
      </c>
      <c r="H664" s="3">
        <v>2220</v>
      </c>
      <c r="I664" s="3">
        <v>2220</v>
      </c>
      <c r="J664" t="s">
        <v>82</v>
      </c>
      <c r="K664" t="s">
        <v>93</v>
      </c>
      <c r="L664" s="3">
        <f>SUM(SalesData3[Sales Amount (PKR)])</f>
        <v>11946830</v>
      </c>
    </row>
    <row r="665" spans="1:12" ht="14.25" customHeight="1" x14ac:dyDescent="0.45">
      <c r="A665" t="s">
        <v>962</v>
      </c>
      <c r="B665" s="2" t="s">
        <v>950</v>
      </c>
      <c r="C665" t="s">
        <v>96</v>
      </c>
      <c r="D665" t="s">
        <v>398</v>
      </c>
      <c r="E665" t="s">
        <v>448</v>
      </c>
      <c r="F665" t="s">
        <v>117</v>
      </c>
      <c r="G665">
        <v>1</v>
      </c>
      <c r="H665" s="3">
        <v>2220</v>
      </c>
      <c r="I665" s="3">
        <v>2220</v>
      </c>
      <c r="J665" t="s">
        <v>76</v>
      </c>
      <c r="K665" t="s">
        <v>77</v>
      </c>
      <c r="L665" s="3">
        <f>SUM(SalesData3[Sales Amount (PKR)])</f>
        <v>11946830</v>
      </c>
    </row>
    <row r="666" spans="1:12" ht="14.25" customHeight="1" x14ac:dyDescent="0.45">
      <c r="A666" t="s">
        <v>963</v>
      </c>
      <c r="B666" s="2" t="s">
        <v>428</v>
      </c>
      <c r="C666" t="s">
        <v>89</v>
      </c>
      <c r="D666" t="s">
        <v>398</v>
      </c>
      <c r="E666" t="s">
        <v>448</v>
      </c>
      <c r="F666" t="s">
        <v>123</v>
      </c>
      <c r="G666">
        <v>1</v>
      </c>
      <c r="H666" s="3">
        <v>2220</v>
      </c>
      <c r="I666" s="3">
        <v>2220</v>
      </c>
      <c r="J666" t="s">
        <v>76</v>
      </c>
      <c r="K666" t="s">
        <v>83</v>
      </c>
      <c r="L666" s="3">
        <f>SUM(SalesData3[Sales Amount (PKR)])</f>
        <v>11946830</v>
      </c>
    </row>
    <row r="667" spans="1:12" ht="14.25" customHeight="1" x14ac:dyDescent="0.45">
      <c r="A667" t="s">
        <v>964</v>
      </c>
      <c r="B667" s="2" t="s">
        <v>314</v>
      </c>
      <c r="C667" t="s">
        <v>72</v>
      </c>
      <c r="D667" t="s">
        <v>398</v>
      </c>
      <c r="E667" t="s">
        <v>448</v>
      </c>
      <c r="F667" t="s">
        <v>131</v>
      </c>
      <c r="G667">
        <v>1</v>
      </c>
      <c r="H667" s="3">
        <v>2210</v>
      </c>
      <c r="I667" s="3">
        <v>2210</v>
      </c>
      <c r="J667" t="s">
        <v>76</v>
      </c>
      <c r="K667" t="s">
        <v>77</v>
      </c>
      <c r="L667" s="3">
        <f>SUM(SalesData3[Sales Amount (PKR)])</f>
        <v>11946830</v>
      </c>
    </row>
    <row r="668" spans="1:12" ht="14.25" customHeight="1" x14ac:dyDescent="0.45">
      <c r="A668" t="s">
        <v>965</v>
      </c>
      <c r="B668" s="2" t="s">
        <v>578</v>
      </c>
      <c r="C668" t="s">
        <v>96</v>
      </c>
      <c r="D668" t="s">
        <v>398</v>
      </c>
      <c r="E668" t="s">
        <v>448</v>
      </c>
      <c r="F668" t="s">
        <v>117</v>
      </c>
      <c r="G668">
        <v>1</v>
      </c>
      <c r="H668" s="3">
        <v>2210</v>
      </c>
      <c r="I668" s="3">
        <v>2210</v>
      </c>
      <c r="J668" t="s">
        <v>76</v>
      </c>
      <c r="K668" t="s">
        <v>77</v>
      </c>
      <c r="L668" s="3">
        <f>SUM(SalesData3[Sales Amount (PKR)])</f>
        <v>11946830</v>
      </c>
    </row>
    <row r="669" spans="1:12" ht="14.25" customHeight="1" x14ac:dyDescent="0.45">
      <c r="A669" t="s">
        <v>966</v>
      </c>
      <c r="B669" s="2" t="s">
        <v>715</v>
      </c>
      <c r="C669" t="s">
        <v>89</v>
      </c>
      <c r="D669" t="s">
        <v>398</v>
      </c>
      <c r="E669" t="s">
        <v>448</v>
      </c>
      <c r="F669" t="s">
        <v>131</v>
      </c>
      <c r="G669">
        <v>1</v>
      </c>
      <c r="H669" s="3">
        <v>2210</v>
      </c>
      <c r="I669" s="3">
        <v>2210</v>
      </c>
      <c r="J669" t="s">
        <v>76</v>
      </c>
      <c r="K669" t="s">
        <v>83</v>
      </c>
      <c r="L669" s="3">
        <f>SUM(SalesData3[Sales Amount (PKR)])</f>
        <v>11946830</v>
      </c>
    </row>
    <row r="670" spans="1:12" ht="14.25" customHeight="1" x14ac:dyDescent="0.45">
      <c r="A670" t="s">
        <v>967</v>
      </c>
      <c r="B670" s="2" t="s">
        <v>202</v>
      </c>
      <c r="C670" t="s">
        <v>96</v>
      </c>
      <c r="D670" t="s">
        <v>398</v>
      </c>
      <c r="E670" t="s">
        <v>448</v>
      </c>
      <c r="F670" t="s">
        <v>97</v>
      </c>
      <c r="G670">
        <v>1</v>
      </c>
      <c r="H670" s="3">
        <v>2190</v>
      </c>
      <c r="I670" s="3">
        <v>2190</v>
      </c>
      <c r="J670" t="s">
        <v>82</v>
      </c>
      <c r="K670" t="s">
        <v>83</v>
      </c>
      <c r="L670" s="3">
        <f>SUM(SalesData3[Sales Amount (PKR)])</f>
        <v>11946830</v>
      </c>
    </row>
    <row r="671" spans="1:12" ht="14.25" customHeight="1" x14ac:dyDescent="0.45">
      <c r="A671" t="s">
        <v>968</v>
      </c>
      <c r="B671" s="2" t="s">
        <v>585</v>
      </c>
      <c r="C671" t="s">
        <v>96</v>
      </c>
      <c r="D671" t="s">
        <v>398</v>
      </c>
      <c r="E671" t="s">
        <v>448</v>
      </c>
      <c r="F671" t="s">
        <v>97</v>
      </c>
      <c r="G671">
        <v>1</v>
      </c>
      <c r="H671" s="3">
        <v>2180</v>
      </c>
      <c r="I671" s="3">
        <v>2180</v>
      </c>
      <c r="J671" t="s">
        <v>82</v>
      </c>
      <c r="K671" t="s">
        <v>83</v>
      </c>
      <c r="L671" s="3">
        <f>SUM(SalesData3[Sales Amount (PKR)])</f>
        <v>11946830</v>
      </c>
    </row>
    <row r="672" spans="1:12" ht="14.25" customHeight="1" x14ac:dyDescent="0.45">
      <c r="A672" t="s">
        <v>969</v>
      </c>
      <c r="B672" s="2" t="s">
        <v>204</v>
      </c>
      <c r="C672" t="s">
        <v>96</v>
      </c>
      <c r="D672" t="s">
        <v>398</v>
      </c>
      <c r="E672" t="s">
        <v>448</v>
      </c>
      <c r="F672" t="s">
        <v>81</v>
      </c>
      <c r="G672">
        <v>1</v>
      </c>
      <c r="H672" s="3">
        <v>2180</v>
      </c>
      <c r="I672" s="3">
        <v>2180</v>
      </c>
      <c r="J672" t="s">
        <v>76</v>
      </c>
      <c r="K672" t="s">
        <v>77</v>
      </c>
      <c r="L672" s="3">
        <f>SUM(SalesData3[Sales Amount (PKR)])</f>
        <v>11946830</v>
      </c>
    </row>
    <row r="673" spans="1:12" ht="14.25" customHeight="1" x14ac:dyDescent="0.45">
      <c r="A673" t="s">
        <v>970</v>
      </c>
      <c r="B673" s="2" t="s">
        <v>171</v>
      </c>
      <c r="C673" t="s">
        <v>89</v>
      </c>
      <c r="D673" t="s">
        <v>398</v>
      </c>
      <c r="E673" t="s">
        <v>462</v>
      </c>
      <c r="F673" t="s">
        <v>97</v>
      </c>
      <c r="G673">
        <v>1</v>
      </c>
      <c r="H673" s="3">
        <v>2180</v>
      </c>
      <c r="I673" s="3">
        <v>2180</v>
      </c>
      <c r="J673" t="s">
        <v>82</v>
      </c>
      <c r="K673" t="s">
        <v>93</v>
      </c>
      <c r="L673" s="3">
        <f>SUM(SalesData3[Sales Amount (PKR)])</f>
        <v>11946830</v>
      </c>
    </row>
    <row r="674" spans="1:12" ht="14.25" customHeight="1" x14ac:dyDescent="0.45">
      <c r="A674" t="s">
        <v>971</v>
      </c>
      <c r="B674" s="2" t="s">
        <v>367</v>
      </c>
      <c r="C674" t="s">
        <v>96</v>
      </c>
      <c r="D674" t="s">
        <v>398</v>
      </c>
      <c r="E674" t="s">
        <v>448</v>
      </c>
      <c r="F674" t="s">
        <v>86</v>
      </c>
      <c r="G674">
        <v>1</v>
      </c>
      <c r="H674" s="3">
        <v>2180</v>
      </c>
      <c r="I674" s="3">
        <v>2180</v>
      </c>
      <c r="J674" t="s">
        <v>82</v>
      </c>
      <c r="K674" t="s">
        <v>77</v>
      </c>
      <c r="L674" s="3">
        <f>SUM(SalesData3[Sales Amount (PKR)])</f>
        <v>11946830</v>
      </c>
    </row>
    <row r="675" spans="1:12" ht="14.25" customHeight="1" x14ac:dyDescent="0.45">
      <c r="A675" t="s">
        <v>972</v>
      </c>
      <c r="B675" s="2" t="s">
        <v>869</v>
      </c>
      <c r="C675" t="s">
        <v>100</v>
      </c>
      <c r="D675" t="s">
        <v>398</v>
      </c>
      <c r="E675" t="s">
        <v>448</v>
      </c>
      <c r="F675" t="s">
        <v>75</v>
      </c>
      <c r="G675">
        <v>1</v>
      </c>
      <c r="H675" s="3">
        <v>2180</v>
      </c>
      <c r="I675" s="3">
        <v>2180</v>
      </c>
      <c r="J675" t="s">
        <v>76</v>
      </c>
      <c r="K675" t="s">
        <v>83</v>
      </c>
      <c r="L675" s="3">
        <f>SUM(SalesData3[Sales Amount (PKR)])</f>
        <v>11946830</v>
      </c>
    </row>
    <row r="676" spans="1:12" ht="14.25" customHeight="1" x14ac:dyDescent="0.45">
      <c r="A676" t="s">
        <v>973</v>
      </c>
      <c r="B676" s="2" t="s">
        <v>227</v>
      </c>
      <c r="C676" t="s">
        <v>72</v>
      </c>
      <c r="D676" t="s">
        <v>398</v>
      </c>
      <c r="E676" t="s">
        <v>448</v>
      </c>
      <c r="F676" t="s">
        <v>86</v>
      </c>
      <c r="G676">
        <v>1</v>
      </c>
      <c r="H676" s="3">
        <v>2180</v>
      </c>
      <c r="I676" s="3">
        <v>2180</v>
      </c>
      <c r="J676" t="s">
        <v>82</v>
      </c>
      <c r="K676" t="s">
        <v>83</v>
      </c>
      <c r="L676" s="3">
        <f>SUM(SalesData3[Sales Amount (PKR)])</f>
        <v>11946830</v>
      </c>
    </row>
    <row r="677" spans="1:12" ht="14.25" customHeight="1" x14ac:dyDescent="0.45">
      <c r="A677" t="s">
        <v>974</v>
      </c>
      <c r="B677" s="2" t="s">
        <v>556</v>
      </c>
      <c r="C677" t="s">
        <v>80</v>
      </c>
      <c r="D677" t="s">
        <v>398</v>
      </c>
      <c r="E677" t="s">
        <v>462</v>
      </c>
      <c r="F677" t="s">
        <v>117</v>
      </c>
      <c r="G677">
        <v>1</v>
      </c>
      <c r="H677" s="3">
        <v>2180</v>
      </c>
      <c r="I677" s="3">
        <v>2180</v>
      </c>
      <c r="J677" t="s">
        <v>76</v>
      </c>
      <c r="K677" t="s">
        <v>83</v>
      </c>
      <c r="L677" s="3">
        <f>SUM(SalesData3[Sales Amount (PKR)])</f>
        <v>11946830</v>
      </c>
    </row>
    <row r="678" spans="1:12" ht="14.25" customHeight="1" x14ac:dyDescent="0.45">
      <c r="A678" t="s">
        <v>975</v>
      </c>
      <c r="B678" s="2" t="s">
        <v>658</v>
      </c>
      <c r="C678" t="s">
        <v>96</v>
      </c>
      <c r="D678" t="s">
        <v>398</v>
      </c>
      <c r="E678" t="s">
        <v>448</v>
      </c>
      <c r="F678" t="s">
        <v>117</v>
      </c>
      <c r="G678">
        <v>1</v>
      </c>
      <c r="H678" s="3">
        <v>2170</v>
      </c>
      <c r="I678" s="3">
        <v>2170</v>
      </c>
      <c r="J678" t="s">
        <v>82</v>
      </c>
      <c r="K678" t="s">
        <v>93</v>
      </c>
      <c r="L678" s="3">
        <f>SUM(SalesData3[Sales Amount (PKR)])</f>
        <v>11946830</v>
      </c>
    </row>
    <row r="679" spans="1:12" ht="14.25" customHeight="1" x14ac:dyDescent="0.45">
      <c r="A679" t="s">
        <v>976</v>
      </c>
      <c r="B679" s="2" t="s">
        <v>656</v>
      </c>
      <c r="C679" t="s">
        <v>72</v>
      </c>
      <c r="D679" t="s">
        <v>398</v>
      </c>
      <c r="E679" t="s">
        <v>462</v>
      </c>
      <c r="F679" t="s">
        <v>107</v>
      </c>
      <c r="G679">
        <v>1</v>
      </c>
      <c r="H679" s="3">
        <v>2170</v>
      </c>
      <c r="I679" s="3">
        <v>2170</v>
      </c>
      <c r="J679" t="s">
        <v>76</v>
      </c>
      <c r="K679" t="s">
        <v>83</v>
      </c>
      <c r="L679" s="3">
        <f>SUM(SalesData3[Sales Amount (PKR)])</f>
        <v>11946830</v>
      </c>
    </row>
    <row r="680" spans="1:12" ht="14.25" customHeight="1" x14ac:dyDescent="0.45">
      <c r="A680" t="s">
        <v>977</v>
      </c>
      <c r="B680" s="2" t="s">
        <v>481</v>
      </c>
      <c r="C680" t="s">
        <v>80</v>
      </c>
      <c r="D680" t="s">
        <v>398</v>
      </c>
      <c r="E680" t="s">
        <v>448</v>
      </c>
      <c r="F680" t="s">
        <v>140</v>
      </c>
      <c r="G680">
        <v>1</v>
      </c>
      <c r="H680" s="3">
        <v>2170</v>
      </c>
      <c r="I680" s="3">
        <v>2170</v>
      </c>
      <c r="J680" t="s">
        <v>76</v>
      </c>
      <c r="K680" t="s">
        <v>93</v>
      </c>
      <c r="L680" s="3">
        <f>SUM(SalesData3[Sales Amount (PKR)])</f>
        <v>11946830</v>
      </c>
    </row>
    <row r="681" spans="1:12" ht="14.25" customHeight="1" x14ac:dyDescent="0.45">
      <c r="A681" t="s">
        <v>978</v>
      </c>
      <c r="B681" s="2" t="s">
        <v>332</v>
      </c>
      <c r="C681" t="s">
        <v>89</v>
      </c>
      <c r="D681" t="s">
        <v>398</v>
      </c>
      <c r="E681" t="s">
        <v>448</v>
      </c>
      <c r="F681" t="s">
        <v>131</v>
      </c>
      <c r="G681">
        <v>1</v>
      </c>
      <c r="H681" s="3">
        <v>2170</v>
      </c>
      <c r="I681" s="3">
        <v>2170</v>
      </c>
      <c r="J681" t="s">
        <v>76</v>
      </c>
      <c r="K681" t="s">
        <v>93</v>
      </c>
      <c r="L681" s="3">
        <f>SUM(SalesData3[Sales Amount (PKR)])</f>
        <v>11946830</v>
      </c>
    </row>
    <row r="682" spans="1:12" ht="14.25" customHeight="1" x14ac:dyDescent="0.45">
      <c r="A682" t="s">
        <v>979</v>
      </c>
      <c r="B682" s="2" t="s">
        <v>318</v>
      </c>
      <c r="C682" t="s">
        <v>100</v>
      </c>
      <c r="D682" t="s">
        <v>398</v>
      </c>
      <c r="E682" t="s">
        <v>448</v>
      </c>
      <c r="F682" t="s">
        <v>117</v>
      </c>
      <c r="G682">
        <v>1</v>
      </c>
      <c r="H682" s="3">
        <v>2170</v>
      </c>
      <c r="I682" s="3">
        <v>2170</v>
      </c>
      <c r="J682" t="s">
        <v>76</v>
      </c>
      <c r="K682" t="s">
        <v>83</v>
      </c>
      <c r="L682" s="3">
        <f>SUM(SalesData3[Sales Amount (PKR)])</f>
        <v>11946830</v>
      </c>
    </row>
    <row r="683" spans="1:12" ht="14.25" customHeight="1" x14ac:dyDescent="0.45">
      <c r="A683" t="s">
        <v>980</v>
      </c>
      <c r="B683" s="2" t="s">
        <v>591</v>
      </c>
      <c r="C683" t="s">
        <v>100</v>
      </c>
      <c r="D683" t="s">
        <v>398</v>
      </c>
      <c r="E683" t="s">
        <v>448</v>
      </c>
      <c r="F683" t="s">
        <v>140</v>
      </c>
      <c r="G683">
        <v>1</v>
      </c>
      <c r="H683" s="3">
        <v>2170</v>
      </c>
      <c r="I683" s="3">
        <v>2170</v>
      </c>
      <c r="J683" t="s">
        <v>76</v>
      </c>
      <c r="K683" t="s">
        <v>83</v>
      </c>
      <c r="L683" s="3">
        <f>SUM(SalesData3[Sales Amount (PKR)])</f>
        <v>11946830</v>
      </c>
    </row>
    <row r="684" spans="1:12" ht="14.25" customHeight="1" x14ac:dyDescent="0.45">
      <c r="A684" t="s">
        <v>981</v>
      </c>
      <c r="B684" s="2" t="s">
        <v>92</v>
      </c>
      <c r="C684" t="s">
        <v>100</v>
      </c>
      <c r="D684" t="s">
        <v>398</v>
      </c>
      <c r="E684" t="s">
        <v>448</v>
      </c>
      <c r="F684" t="s">
        <v>140</v>
      </c>
      <c r="G684">
        <v>1</v>
      </c>
      <c r="H684" s="3">
        <v>2160</v>
      </c>
      <c r="I684" s="3">
        <v>2160</v>
      </c>
      <c r="J684" t="s">
        <v>76</v>
      </c>
      <c r="K684" t="s">
        <v>83</v>
      </c>
      <c r="L684" s="3">
        <f>SUM(SalesData3[Sales Amount (PKR)])</f>
        <v>11946830</v>
      </c>
    </row>
    <row r="685" spans="1:12" ht="14.25" customHeight="1" x14ac:dyDescent="0.45">
      <c r="A685" t="s">
        <v>982</v>
      </c>
      <c r="B685" s="2" t="s">
        <v>127</v>
      </c>
      <c r="C685" t="s">
        <v>72</v>
      </c>
      <c r="D685" t="s">
        <v>398</v>
      </c>
      <c r="E685" t="s">
        <v>448</v>
      </c>
      <c r="F685" t="s">
        <v>86</v>
      </c>
      <c r="G685">
        <v>1</v>
      </c>
      <c r="H685" s="3">
        <v>2160</v>
      </c>
      <c r="I685" s="3">
        <v>2160</v>
      </c>
      <c r="J685" t="s">
        <v>76</v>
      </c>
      <c r="K685" t="s">
        <v>77</v>
      </c>
      <c r="L685" s="3">
        <f>SUM(SalesData3[Sales Amount (PKR)])</f>
        <v>11946830</v>
      </c>
    </row>
    <row r="686" spans="1:12" ht="14.25" customHeight="1" x14ac:dyDescent="0.45">
      <c r="A686" t="s">
        <v>983</v>
      </c>
      <c r="B686" s="2" t="s">
        <v>213</v>
      </c>
      <c r="C686" t="s">
        <v>96</v>
      </c>
      <c r="D686" t="s">
        <v>398</v>
      </c>
      <c r="E686" t="s">
        <v>448</v>
      </c>
      <c r="F686" t="s">
        <v>97</v>
      </c>
      <c r="G686">
        <v>1</v>
      </c>
      <c r="H686" s="3">
        <v>2160</v>
      </c>
      <c r="I686" s="3">
        <v>2160</v>
      </c>
      <c r="J686" t="s">
        <v>76</v>
      </c>
      <c r="K686" t="s">
        <v>83</v>
      </c>
      <c r="L686" s="3">
        <f>SUM(SalesData3[Sales Amount (PKR)])</f>
        <v>11946830</v>
      </c>
    </row>
    <row r="687" spans="1:12" ht="14.25" customHeight="1" x14ac:dyDescent="0.45">
      <c r="A687" t="s">
        <v>984</v>
      </c>
      <c r="B687" s="2" t="s">
        <v>791</v>
      </c>
      <c r="C687" t="s">
        <v>89</v>
      </c>
      <c r="D687" t="s">
        <v>398</v>
      </c>
      <c r="E687" t="s">
        <v>448</v>
      </c>
      <c r="F687" t="s">
        <v>140</v>
      </c>
      <c r="G687">
        <v>1</v>
      </c>
      <c r="H687" s="3">
        <v>2150</v>
      </c>
      <c r="I687" s="3">
        <v>2150</v>
      </c>
      <c r="J687" t="s">
        <v>76</v>
      </c>
      <c r="K687" t="s">
        <v>83</v>
      </c>
      <c r="L687" s="3">
        <f>SUM(SalesData3[Sales Amount (PKR)])</f>
        <v>11946830</v>
      </c>
    </row>
    <row r="688" spans="1:12" ht="14.25" customHeight="1" x14ac:dyDescent="0.45">
      <c r="A688" t="s">
        <v>985</v>
      </c>
      <c r="B688" s="2" t="s">
        <v>376</v>
      </c>
      <c r="C688" t="s">
        <v>100</v>
      </c>
      <c r="D688" t="s">
        <v>398</v>
      </c>
      <c r="E688" t="s">
        <v>448</v>
      </c>
      <c r="F688" t="s">
        <v>140</v>
      </c>
      <c r="G688">
        <v>1</v>
      </c>
      <c r="H688" s="3">
        <v>2150</v>
      </c>
      <c r="I688" s="3">
        <v>2150</v>
      </c>
      <c r="J688" t="s">
        <v>76</v>
      </c>
      <c r="K688" t="s">
        <v>83</v>
      </c>
      <c r="L688" s="3">
        <f>SUM(SalesData3[Sales Amount (PKR)])</f>
        <v>11946830</v>
      </c>
    </row>
    <row r="689" spans="1:12" ht="14.25" customHeight="1" x14ac:dyDescent="0.45">
      <c r="A689" t="s">
        <v>986</v>
      </c>
      <c r="B689" s="2" t="s">
        <v>583</v>
      </c>
      <c r="C689" t="s">
        <v>96</v>
      </c>
      <c r="D689" t="s">
        <v>398</v>
      </c>
      <c r="E689" t="s">
        <v>462</v>
      </c>
      <c r="F689" t="s">
        <v>81</v>
      </c>
      <c r="G689">
        <v>1</v>
      </c>
      <c r="H689" s="3">
        <v>2150</v>
      </c>
      <c r="I689" s="3">
        <v>2150</v>
      </c>
      <c r="J689" t="s">
        <v>76</v>
      </c>
      <c r="K689" t="s">
        <v>77</v>
      </c>
      <c r="L689" s="3">
        <f>SUM(SalesData3[Sales Amount (PKR)])</f>
        <v>11946830</v>
      </c>
    </row>
    <row r="690" spans="1:12" ht="14.25" customHeight="1" x14ac:dyDescent="0.45">
      <c r="A690" t="s">
        <v>987</v>
      </c>
      <c r="B690" s="2" t="s">
        <v>389</v>
      </c>
      <c r="C690" t="s">
        <v>72</v>
      </c>
      <c r="D690" t="s">
        <v>398</v>
      </c>
      <c r="E690" t="s">
        <v>448</v>
      </c>
      <c r="F690" t="s">
        <v>90</v>
      </c>
      <c r="G690">
        <v>1</v>
      </c>
      <c r="H690" s="3">
        <v>2140</v>
      </c>
      <c r="I690" s="3">
        <v>2140</v>
      </c>
      <c r="J690" t="s">
        <v>76</v>
      </c>
      <c r="K690" t="s">
        <v>93</v>
      </c>
      <c r="L690" s="3">
        <f>SUM(SalesData3[Sales Amount (PKR)])</f>
        <v>11946830</v>
      </c>
    </row>
    <row r="691" spans="1:12" ht="14.25" customHeight="1" x14ac:dyDescent="0.45">
      <c r="A691" t="s">
        <v>988</v>
      </c>
      <c r="B691" s="2" t="s">
        <v>142</v>
      </c>
      <c r="C691" t="s">
        <v>72</v>
      </c>
      <c r="D691" t="s">
        <v>398</v>
      </c>
      <c r="E691" t="s">
        <v>448</v>
      </c>
      <c r="F691" t="s">
        <v>131</v>
      </c>
      <c r="G691">
        <v>1</v>
      </c>
      <c r="H691" s="3">
        <v>2130</v>
      </c>
      <c r="I691" s="3">
        <v>2130</v>
      </c>
      <c r="J691" t="s">
        <v>82</v>
      </c>
      <c r="K691" t="s">
        <v>77</v>
      </c>
      <c r="L691" s="3">
        <f>SUM(SalesData3[Sales Amount (PKR)])</f>
        <v>11946830</v>
      </c>
    </row>
    <row r="692" spans="1:12" ht="14.25" customHeight="1" x14ac:dyDescent="0.45">
      <c r="A692" t="s">
        <v>989</v>
      </c>
      <c r="B692" s="2" t="s">
        <v>320</v>
      </c>
      <c r="C692" t="s">
        <v>80</v>
      </c>
      <c r="D692" t="s">
        <v>398</v>
      </c>
      <c r="E692" t="s">
        <v>462</v>
      </c>
      <c r="F692" t="s">
        <v>75</v>
      </c>
      <c r="G692">
        <v>1</v>
      </c>
      <c r="H692" s="3">
        <v>2120</v>
      </c>
      <c r="I692" s="3">
        <v>2120</v>
      </c>
      <c r="J692" t="s">
        <v>82</v>
      </c>
      <c r="K692" t="s">
        <v>83</v>
      </c>
      <c r="L692" s="3">
        <f>SUM(SalesData3[Sales Amount (PKR)])</f>
        <v>11946830</v>
      </c>
    </row>
    <row r="693" spans="1:12" ht="14.25" customHeight="1" x14ac:dyDescent="0.45">
      <c r="A693" t="s">
        <v>990</v>
      </c>
      <c r="B693" s="2" t="s">
        <v>670</v>
      </c>
      <c r="C693" t="s">
        <v>96</v>
      </c>
      <c r="D693" t="s">
        <v>398</v>
      </c>
      <c r="E693" t="s">
        <v>462</v>
      </c>
      <c r="F693" t="s">
        <v>140</v>
      </c>
      <c r="G693">
        <v>1</v>
      </c>
      <c r="H693" s="3">
        <v>2120</v>
      </c>
      <c r="I693" s="3">
        <v>2120</v>
      </c>
      <c r="J693" t="s">
        <v>76</v>
      </c>
      <c r="K693" t="s">
        <v>83</v>
      </c>
      <c r="L693" s="3">
        <f>SUM(SalesData3[Sales Amount (PKR)])</f>
        <v>11946830</v>
      </c>
    </row>
    <row r="694" spans="1:12" ht="14.25" customHeight="1" x14ac:dyDescent="0.45">
      <c r="A694" t="s">
        <v>991</v>
      </c>
      <c r="B694" s="2" t="s">
        <v>208</v>
      </c>
      <c r="C694" t="s">
        <v>89</v>
      </c>
      <c r="D694" t="s">
        <v>398</v>
      </c>
      <c r="E694" t="s">
        <v>462</v>
      </c>
      <c r="F694" t="s">
        <v>86</v>
      </c>
      <c r="G694">
        <v>1</v>
      </c>
      <c r="H694" s="3">
        <v>2120</v>
      </c>
      <c r="I694" s="3">
        <v>2120</v>
      </c>
      <c r="J694" t="s">
        <v>82</v>
      </c>
      <c r="K694" t="s">
        <v>77</v>
      </c>
      <c r="L694" s="3">
        <f>SUM(SalesData3[Sales Amount (PKR)])</f>
        <v>11946830</v>
      </c>
    </row>
    <row r="695" spans="1:12" ht="14.25" customHeight="1" x14ac:dyDescent="0.45">
      <c r="A695" t="s">
        <v>992</v>
      </c>
      <c r="B695" s="2" t="s">
        <v>481</v>
      </c>
      <c r="C695" t="s">
        <v>80</v>
      </c>
      <c r="D695" t="s">
        <v>398</v>
      </c>
      <c r="E695" t="s">
        <v>448</v>
      </c>
      <c r="F695" t="s">
        <v>97</v>
      </c>
      <c r="G695">
        <v>1</v>
      </c>
      <c r="H695" s="3">
        <v>2120</v>
      </c>
      <c r="I695" s="3">
        <v>2120</v>
      </c>
      <c r="J695" t="s">
        <v>82</v>
      </c>
      <c r="K695" t="s">
        <v>93</v>
      </c>
      <c r="L695" s="3">
        <f>SUM(SalesData3[Sales Amount (PKR)])</f>
        <v>11946830</v>
      </c>
    </row>
    <row r="696" spans="1:12" ht="14.25" customHeight="1" x14ac:dyDescent="0.45">
      <c r="A696" t="s">
        <v>993</v>
      </c>
      <c r="B696" s="2" t="s">
        <v>352</v>
      </c>
      <c r="C696" t="s">
        <v>96</v>
      </c>
      <c r="D696" t="s">
        <v>398</v>
      </c>
      <c r="E696" t="s">
        <v>448</v>
      </c>
      <c r="F696" t="s">
        <v>107</v>
      </c>
      <c r="G696">
        <v>1</v>
      </c>
      <c r="H696" s="3">
        <v>2120</v>
      </c>
      <c r="I696" s="3">
        <v>2120</v>
      </c>
      <c r="J696" t="s">
        <v>82</v>
      </c>
      <c r="K696" t="s">
        <v>93</v>
      </c>
      <c r="L696" s="3">
        <f>SUM(SalesData3[Sales Amount (PKR)])</f>
        <v>11946830</v>
      </c>
    </row>
    <row r="697" spans="1:12" ht="14.25" customHeight="1" x14ac:dyDescent="0.45">
      <c r="A697" t="s">
        <v>994</v>
      </c>
      <c r="B697" s="2" t="s">
        <v>585</v>
      </c>
      <c r="C697" t="s">
        <v>80</v>
      </c>
      <c r="D697" t="s">
        <v>398</v>
      </c>
      <c r="E697" t="s">
        <v>462</v>
      </c>
      <c r="F697" t="s">
        <v>131</v>
      </c>
      <c r="G697">
        <v>1</v>
      </c>
      <c r="H697" s="3">
        <v>2120</v>
      </c>
      <c r="I697" s="3">
        <v>2120</v>
      </c>
      <c r="J697" t="s">
        <v>82</v>
      </c>
      <c r="K697" t="s">
        <v>93</v>
      </c>
      <c r="L697" s="3">
        <f>SUM(SalesData3[Sales Amount (PKR)])</f>
        <v>11946830</v>
      </c>
    </row>
    <row r="698" spans="1:12" ht="14.25" customHeight="1" x14ac:dyDescent="0.45">
      <c r="A698" t="s">
        <v>995</v>
      </c>
      <c r="B698" s="2" t="s">
        <v>843</v>
      </c>
      <c r="C698" t="s">
        <v>100</v>
      </c>
      <c r="D698" t="s">
        <v>398</v>
      </c>
      <c r="E698" t="s">
        <v>462</v>
      </c>
      <c r="F698" t="s">
        <v>131</v>
      </c>
      <c r="G698">
        <v>1</v>
      </c>
      <c r="H698" s="3">
        <v>2110</v>
      </c>
      <c r="I698" s="3">
        <v>2110</v>
      </c>
      <c r="J698" t="s">
        <v>76</v>
      </c>
      <c r="K698" t="s">
        <v>77</v>
      </c>
      <c r="L698" s="3">
        <f>SUM(SalesData3[Sales Amount (PKR)])</f>
        <v>11946830</v>
      </c>
    </row>
    <row r="699" spans="1:12" ht="14.25" customHeight="1" x14ac:dyDescent="0.45">
      <c r="A699" t="s">
        <v>996</v>
      </c>
      <c r="B699" s="2" t="s">
        <v>227</v>
      </c>
      <c r="C699" t="s">
        <v>89</v>
      </c>
      <c r="D699" t="s">
        <v>398</v>
      </c>
      <c r="E699" t="s">
        <v>462</v>
      </c>
      <c r="F699" t="s">
        <v>131</v>
      </c>
      <c r="G699">
        <v>1</v>
      </c>
      <c r="H699" s="3">
        <v>2100</v>
      </c>
      <c r="I699" s="3">
        <v>2100</v>
      </c>
      <c r="J699" t="s">
        <v>82</v>
      </c>
      <c r="K699" t="s">
        <v>83</v>
      </c>
      <c r="L699" s="3">
        <f>SUM(SalesData3[Sales Amount (PKR)])</f>
        <v>11946830</v>
      </c>
    </row>
    <row r="700" spans="1:12" ht="14.25" customHeight="1" x14ac:dyDescent="0.45">
      <c r="A700" t="s">
        <v>997</v>
      </c>
      <c r="B700" s="2" t="s">
        <v>430</v>
      </c>
      <c r="C700" t="s">
        <v>89</v>
      </c>
      <c r="D700" t="s">
        <v>398</v>
      </c>
      <c r="E700" t="s">
        <v>462</v>
      </c>
      <c r="F700" t="s">
        <v>90</v>
      </c>
      <c r="G700">
        <v>1</v>
      </c>
      <c r="H700" s="3">
        <v>2100</v>
      </c>
      <c r="I700" s="3">
        <v>2100</v>
      </c>
      <c r="J700" t="s">
        <v>82</v>
      </c>
      <c r="K700" t="s">
        <v>93</v>
      </c>
      <c r="L700" s="3">
        <f>SUM(SalesData3[Sales Amount (PKR)])</f>
        <v>11946830</v>
      </c>
    </row>
    <row r="701" spans="1:12" ht="14.25" customHeight="1" x14ac:dyDescent="0.45">
      <c r="A701" t="s">
        <v>998</v>
      </c>
      <c r="B701" s="2" t="s">
        <v>229</v>
      </c>
      <c r="C701" t="s">
        <v>100</v>
      </c>
      <c r="D701" t="s">
        <v>398</v>
      </c>
      <c r="E701" t="s">
        <v>462</v>
      </c>
      <c r="F701" t="s">
        <v>123</v>
      </c>
      <c r="G701">
        <v>1</v>
      </c>
      <c r="H701" s="3">
        <v>2100</v>
      </c>
      <c r="I701" s="3">
        <v>2100</v>
      </c>
      <c r="J701" t="s">
        <v>76</v>
      </c>
      <c r="K701" t="s">
        <v>77</v>
      </c>
      <c r="L701" s="3">
        <f>SUM(SalesData3[Sales Amount (PKR)])</f>
        <v>11946830</v>
      </c>
    </row>
    <row r="702" spans="1:12" ht="14.25" customHeight="1" x14ac:dyDescent="0.45">
      <c r="A702" t="s">
        <v>999</v>
      </c>
      <c r="B702" s="2" t="s">
        <v>186</v>
      </c>
      <c r="C702" t="s">
        <v>89</v>
      </c>
      <c r="D702" t="s">
        <v>398</v>
      </c>
      <c r="E702" t="s">
        <v>462</v>
      </c>
      <c r="F702" t="s">
        <v>123</v>
      </c>
      <c r="G702">
        <v>1</v>
      </c>
      <c r="H702" s="3">
        <v>2090</v>
      </c>
      <c r="I702" s="3">
        <v>2090</v>
      </c>
      <c r="J702" t="s">
        <v>82</v>
      </c>
      <c r="K702" t="s">
        <v>77</v>
      </c>
      <c r="L702" s="3">
        <f>SUM(SalesData3[Sales Amount (PKR)])</f>
        <v>11946830</v>
      </c>
    </row>
    <row r="703" spans="1:12" ht="14.25" customHeight="1" x14ac:dyDescent="0.45">
      <c r="A703" t="s">
        <v>1000</v>
      </c>
      <c r="B703" s="2" t="s">
        <v>393</v>
      </c>
      <c r="C703" t="s">
        <v>89</v>
      </c>
      <c r="D703" t="s">
        <v>398</v>
      </c>
      <c r="E703" t="s">
        <v>462</v>
      </c>
      <c r="F703" t="s">
        <v>107</v>
      </c>
      <c r="G703">
        <v>1</v>
      </c>
      <c r="H703" s="3">
        <v>2090</v>
      </c>
      <c r="I703" s="3">
        <v>2090</v>
      </c>
      <c r="J703" t="s">
        <v>76</v>
      </c>
      <c r="K703" t="s">
        <v>93</v>
      </c>
      <c r="L703" s="3">
        <f>SUM(SalesData3[Sales Amount (PKR)])</f>
        <v>11946830</v>
      </c>
    </row>
    <row r="704" spans="1:12" ht="14.25" customHeight="1" x14ac:dyDescent="0.45">
      <c r="A704" t="s">
        <v>1001</v>
      </c>
      <c r="B704" s="2" t="s">
        <v>103</v>
      </c>
      <c r="C704" t="s">
        <v>89</v>
      </c>
      <c r="D704" t="s">
        <v>398</v>
      </c>
      <c r="E704" t="s">
        <v>462</v>
      </c>
      <c r="F704" t="s">
        <v>75</v>
      </c>
      <c r="G704">
        <v>1</v>
      </c>
      <c r="H704" s="3">
        <v>2080</v>
      </c>
      <c r="I704" s="3">
        <v>2080</v>
      </c>
      <c r="J704" t="s">
        <v>82</v>
      </c>
      <c r="K704" t="s">
        <v>93</v>
      </c>
      <c r="L704" s="3">
        <f>SUM(SalesData3[Sales Amount (PKR)])</f>
        <v>11946830</v>
      </c>
    </row>
    <row r="705" spans="1:12" ht="14.25" customHeight="1" x14ac:dyDescent="0.45">
      <c r="A705" t="s">
        <v>1002</v>
      </c>
      <c r="B705" s="2" t="s">
        <v>770</v>
      </c>
      <c r="C705" t="s">
        <v>100</v>
      </c>
      <c r="D705" t="s">
        <v>398</v>
      </c>
      <c r="E705" t="s">
        <v>462</v>
      </c>
      <c r="F705" t="s">
        <v>131</v>
      </c>
      <c r="G705">
        <v>1</v>
      </c>
      <c r="H705" s="3">
        <v>2080</v>
      </c>
      <c r="I705" s="3">
        <v>2080</v>
      </c>
      <c r="J705" t="s">
        <v>76</v>
      </c>
      <c r="K705" t="s">
        <v>77</v>
      </c>
      <c r="L705" s="3">
        <f>SUM(SalesData3[Sales Amount (PKR)])</f>
        <v>11946830</v>
      </c>
    </row>
    <row r="706" spans="1:12" ht="14.25" customHeight="1" x14ac:dyDescent="0.45">
      <c r="A706" t="s">
        <v>1003</v>
      </c>
      <c r="B706" s="2" t="s">
        <v>554</v>
      </c>
      <c r="C706" t="s">
        <v>89</v>
      </c>
      <c r="D706" t="s">
        <v>398</v>
      </c>
      <c r="E706" t="s">
        <v>462</v>
      </c>
      <c r="F706" t="s">
        <v>131</v>
      </c>
      <c r="G706">
        <v>1</v>
      </c>
      <c r="H706" s="3">
        <v>2050</v>
      </c>
      <c r="I706" s="3">
        <v>2050</v>
      </c>
      <c r="J706" t="s">
        <v>76</v>
      </c>
      <c r="K706" t="s">
        <v>77</v>
      </c>
      <c r="L706" s="3">
        <f>SUM(SalesData3[Sales Amount (PKR)])</f>
        <v>11946830</v>
      </c>
    </row>
    <row r="707" spans="1:12" ht="14.25" customHeight="1" x14ac:dyDescent="0.45">
      <c r="A707" t="s">
        <v>1004</v>
      </c>
      <c r="B707" s="2" t="s">
        <v>365</v>
      </c>
      <c r="C707" t="s">
        <v>100</v>
      </c>
      <c r="D707" t="s">
        <v>398</v>
      </c>
      <c r="E707" t="s">
        <v>462</v>
      </c>
      <c r="F707" t="s">
        <v>75</v>
      </c>
      <c r="G707">
        <v>1</v>
      </c>
      <c r="H707" s="3">
        <v>2050</v>
      </c>
      <c r="I707" s="3">
        <v>2050</v>
      </c>
      <c r="J707" t="s">
        <v>76</v>
      </c>
      <c r="K707" t="s">
        <v>93</v>
      </c>
      <c r="L707" s="3">
        <f>SUM(SalesData3[Sales Amount (PKR)])</f>
        <v>11946830</v>
      </c>
    </row>
    <row r="708" spans="1:12" ht="14.25" customHeight="1" x14ac:dyDescent="0.45">
      <c r="A708" t="s">
        <v>1005</v>
      </c>
      <c r="B708" s="2" t="s">
        <v>303</v>
      </c>
      <c r="C708" t="s">
        <v>72</v>
      </c>
      <c r="D708" t="s">
        <v>398</v>
      </c>
      <c r="E708" t="s">
        <v>462</v>
      </c>
      <c r="F708" t="s">
        <v>140</v>
      </c>
      <c r="G708">
        <v>1</v>
      </c>
      <c r="H708" s="3">
        <v>2040</v>
      </c>
      <c r="I708" s="3">
        <v>2040</v>
      </c>
      <c r="J708" t="s">
        <v>76</v>
      </c>
      <c r="K708" t="s">
        <v>83</v>
      </c>
      <c r="L708" s="3">
        <f>SUM(SalesData3[Sales Amount (PKR)])</f>
        <v>11946830</v>
      </c>
    </row>
    <row r="709" spans="1:12" ht="14.25" customHeight="1" x14ac:dyDescent="0.45">
      <c r="A709" t="s">
        <v>1006</v>
      </c>
      <c r="B709" s="2" t="s">
        <v>552</v>
      </c>
      <c r="C709" t="s">
        <v>89</v>
      </c>
      <c r="D709" t="s">
        <v>398</v>
      </c>
      <c r="E709" t="s">
        <v>462</v>
      </c>
      <c r="F709" t="s">
        <v>123</v>
      </c>
      <c r="G709">
        <v>1</v>
      </c>
      <c r="H709" s="3">
        <v>2040</v>
      </c>
      <c r="I709" s="3">
        <v>2040</v>
      </c>
      <c r="J709" t="s">
        <v>76</v>
      </c>
      <c r="K709" t="s">
        <v>83</v>
      </c>
      <c r="L709" s="3">
        <f>SUM(SalesData3[Sales Amount (PKR)])</f>
        <v>11946830</v>
      </c>
    </row>
    <row r="710" spans="1:12" ht="14.25" customHeight="1" x14ac:dyDescent="0.45">
      <c r="A710" t="s">
        <v>1007</v>
      </c>
      <c r="B710" s="2" t="s">
        <v>381</v>
      </c>
      <c r="C710" t="s">
        <v>89</v>
      </c>
      <c r="D710" t="s">
        <v>398</v>
      </c>
      <c r="E710" t="s">
        <v>462</v>
      </c>
      <c r="F710" t="s">
        <v>131</v>
      </c>
      <c r="G710">
        <v>1</v>
      </c>
      <c r="H710" s="3">
        <v>2040</v>
      </c>
      <c r="I710" s="3">
        <v>2040</v>
      </c>
      <c r="J710" t="s">
        <v>76</v>
      </c>
      <c r="K710" t="s">
        <v>77</v>
      </c>
      <c r="L710" s="3">
        <f>SUM(SalesData3[Sales Amount (PKR)])</f>
        <v>11946830</v>
      </c>
    </row>
    <row r="711" spans="1:12" ht="14.25" customHeight="1" x14ac:dyDescent="0.45">
      <c r="A711" t="s">
        <v>1008</v>
      </c>
      <c r="B711" s="2" t="s">
        <v>352</v>
      </c>
      <c r="C711" t="s">
        <v>89</v>
      </c>
      <c r="D711" t="s">
        <v>398</v>
      </c>
      <c r="E711" t="s">
        <v>462</v>
      </c>
      <c r="F711" t="s">
        <v>90</v>
      </c>
      <c r="G711">
        <v>1</v>
      </c>
      <c r="H711" s="3">
        <v>2040</v>
      </c>
      <c r="I711" s="3">
        <v>2040</v>
      </c>
      <c r="J711" t="s">
        <v>76</v>
      </c>
      <c r="K711" t="s">
        <v>77</v>
      </c>
      <c r="L711" s="3">
        <f>SUM(SalesData3[Sales Amount (PKR)])</f>
        <v>11946830</v>
      </c>
    </row>
    <row r="712" spans="1:12" ht="14.25" customHeight="1" x14ac:dyDescent="0.45">
      <c r="A712" t="s">
        <v>1009</v>
      </c>
      <c r="B712" s="2" t="s">
        <v>513</v>
      </c>
      <c r="C712" t="s">
        <v>72</v>
      </c>
      <c r="D712" t="s">
        <v>398</v>
      </c>
      <c r="E712" t="s">
        <v>462</v>
      </c>
      <c r="F712" t="s">
        <v>123</v>
      </c>
      <c r="G712">
        <v>1</v>
      </c>
      <c r="H712" s="3">
        <v>2030</v>
      </c>
      <c r="I712" s="3">
        <v>2030</v>
      </c>
      <c r="J712" t="s">
        <v>76</v>
      </c>
      <c r="K712" t="s">
        <v>83</v>
      </c>
      <c r="L712" s="3">
        <f>SUM(SalesData3[Sales Amount (PKR)])</f>
        <v>11946830</v>
      </c>
    </row>
    <row r="713" spans="1:12" ht="14.25" customHeight="1" x14ac:dyDescent="0.45">
      <c r="A713" t="s">
        <v>1010</v>
      </c>
      <c r="B713" s="2" t="s">
        <v>305</v>
      </c>
      <c r="C713" t="s">
        <v>100</v>
      </c>
      <c r="D713" t="s">
        <v>398</v>
      </c>
      <c r="E713" t="s">
        <v>462</v>
      </c>
      <c r="F713" t="s">
        <v>117</v>
      </c>
      <c r="G713">
        <v>1</v>
      </c>
      <c r="H713" s="3">
        <v>2020</v>
      </c>
      <c r="I713" s="3">
        <v>2020</v>
      </c>
      <c r="J713" t="s">
        <v>76</v>
      </c>
      <c r="K713" t="s">
        <v>77</v>
      </c>
      <c r="L713" s="3">
        <f>SUM(SalesData3[Sales Amount (PKR)])</f>
        <v>11946830</v>
      </c>
    </row>
    <row r="714" spans="1:12" ht="14.25" customHeight="1" x14ac:dyDescent="0.45">
      <c r="A714" t="s">
        <v>1011</v>
      </c>
      <c r="B714" s="2" t="s">
        <v>554</v>
      </c>
      <c r="C714" t="s">
        <v>96</v>
      </c>
      <c r="D714" t="s">
        <v>334</v>
      </c>
      <c r="E714" t="s">
        <v>527</v>
      </c>
      <c r="F714" t="s">
        <v>97</v>
      </c>
      <c r="G714">
        <v>1</v>
      </c>
      <c r="H714" s="3">
        <v>1970</v>
      </c>
      <c r="I714" s="3">
        <v>1970</v>
      </c>
      <c r="J714" t="s">
        <v>76</v>
      </c>
      <c r="K714" t="s">
        <v>77</v>
      </c>
      <c r="L714" s="3">
        <f>SUM(SalesData3[Sales Amount (PKR)])</f>
        <v>11946830</v>
      </c>
    </row>
    <row r="715" spans="1:12" ht="14.25" customHeight="1" x14ac:dyDescent="0.45">
      <c r="A715" t="s">
        <v>1012</v>
      </c>
      <c r="B715" s="2" t="s">
        <v>229</v>
      </c>
      <c r="C715" t="s">
        <v>80</v>
      </c>
      <c r="D715" t="s">
        <v>472</v>
      </c>
      <c r="E715" t="s">
        <v>691</v>
      </c>
      <c r="F715" t="s">
        <v>97</v>
      </c>
      <c r="G715">
        <v>2</v>
      </c>
      <c r="H715" s="3">
        <v>980</v>
      </c>
      <c r="I715" s="3">
        <v>1960</v>
      </c>
      <c r="J715" t="s">
        <v>76</v>
      </c>
      <c r="K715" t="s">
        <v>77</v>
      </c>
      <c r="L715" s="3">
        <f>SUM(SalesData3[Sales Amount (PKR)])</f>
        <v>11946830</v>
      </c>
    </row>
    <row r="716" spans="1:12" ht="14.25" customHeight="1" x14ac:dyDescent="0.45">
      <c r="A716" t="s">
        <v>1013</v>
      </c>
      <c r="B716" s="2" t="s">
        <v>326</v>
      </c>
      <c r="C716" t="s">
        <v>89</v>
      </c>
      <c r="D716" t="s">
        <v>472</v>
      </c>
      <c r="E716" t="s">
        <v>691</v>
      </c>
      <c r="F716" t="s">
        <v>117</v>
      </c>
      <c r="G716">
        <v>2</v>
      </c>
      <c r="H716" s="3">
        <v>980</v>
      </c>
      <c r="I716" s="3">
        <v>1960</v>
      </c>
      <c r="J716" t="s">
        <v>76</v>
      </c>
      <c r="K716" t="s">
        <v>93</v>
      </c>
      <c r="L716" s="3">
        <f>SUM(SalesData3[Sales Amount (PKR)])</f>
        <v>11946830</v>
      </c>
    </row>
    <row r="717" spans="1:12" ht="14.25" customHeight="1" x14ac:dyDescent="0.45">
      <c r="A717" t="s">
        <v>1014</v>
      </c>
      <c r="B717" s="2" t="s">
        <v>374</v>
      </c>
      <c r="C717" t="s">
        <v>89</v>
      </c>
      <c r="D717" t="s">
        <v>334</v>
      </c>
      <c r="E717" t="s">
        <v>527</v>
      </c>
      <c r="F717" t="s">
        <v>107</v>
      </c>
      <c r="G717">
        <v>1</v>
      </c>
      <c r="H717" s="3">
        <v>1960</v>
      </c>
      <c r="I717" s="3">
        <v>1960</v>
      </c>
      <c r="J717" t="s">
        <v>76</v>
      </c>
      <c r="K717" t="s">
        <v>93</v>
      </c>
      <c r="L717" s="3">
        <f>SUM(SalesData3[Sales Amount (PKR)])</f>
        <v>11946830</v>
      </c>
    </row>
    <row r="718" spans="1:12" ht="14.25" customHeight="1" x14ac:dyDescent="0.45">
      <c r="A718" t="s">
        <v>1015</v>
      </c>
      <c r="B718" s="2" t="s">
        <v>229</v>
      </c>
      <c r="C718" t="s">
        <v>100</v>
      </c>
      <c r="D718" t="s">
        <v>334</v>
      </c>
      <c r="E718" t="s">
        <v>527</v>
      </c>
      <c r="F718" t="s">
        <v>81</v>
      </c>
      <c r="G718">
        <v>1</v>
      </c>
      <c r="H718" s="3">
        <v>1960</v>
      </c>
      <c r="I718" s="3">
        <v>1960</v>
      </c>
      <c r="J718" t="s">
        <v>76</v>
      </c>
      <c r="K718" t="s">
        <v>83</v>
      </c>
      <c r="L718" s="3">
        <f>SUM(SalesData3[Sales Amount (PKR)])</f>
        <v>11946830</v>
      </c>
    </row>
    <row r="719" spans="1:12" ht="14.25" customHeight="1" x14ac:dyDescent="0.45">
      <c r="A719" t="s">
        <v>1016</v>
      </c>
      <c r="B719" s="2" t="s">
        <v>164</v>
      </c>
      <c r="C719" t="s">
        <v>96</v>
      </c>
      <c r="D719" t="s">
        <v>334</v>
      </c>
      <c r="E719" t="s">
        <v>527</v>
      </c>
      <c r="F719" t="s">
        <v>131</v>
      </c>
      <c r="G719">
        <v>1</v>
      </c>
      <c r="H719" s="3">
        <v>1950</v>
      </c>
      <c r="I719" s="3">
        <v>1950</v>
      </c>
      <c r="J719" t="s">
        <v>76</v>
      </c>
      <c r="K719" t="s">
        <v>77</v>
      </c>
      <c r="L719" s="3">
        <f>SUM(SalesData3[Sales Amount (PKR)])</f>
        <v>11946830</v>
      </c>
    </row>
    <row r="720" spans="1:12" ht="14.25" customHeight="1" x14ac:dyDescent="0.45">
      <c r="A720" t="s">
        <v>1017</v>
      </c>
      <c r="B720" s="2" t="s">
        <v>569</v>
      </c>
      <c r="C720" t="s">
        <v>96</v>
      </c>
      <c r="D720" t="s">
        <v>334</v>
      </c>
      <c r="E720" t="s">
        <v>527</v>
      </c>
      <c r="F720" t="s">
        <v>86</v>
      </c>
      <c r="G720">
        <v>1</v>
      </c>
      <c r="H720" s="3">
        <v>1950</v>
      </c>
      <c r="I720" s="3">
        <v>1950</v>
      </c>
      <c r="J720" t="s">
        <v>76</v>
      </c>
      <c r="K720" t="s">
        <v>83</v>
      </c>
      <c r="L720" s="3">
        <f>SUM(SalesData3[Sales Amount (PKR)])</f>
        <v>11946830</v>
      </c>
    </row>
    <row r="721" spans="1:12" ht="14.25" customHeight="1" x14ac:dyDescent="0.45">
      <c r="A721" t="s">
        <v>1018</v>
      </c>
      <c r="B721" s="2" t="s">
        <v>583</v>
      </c>
      <c r="C721" t="s">
        <v>89</v>
      </c>
      <c r="D721" t="s">
        <v>334</v>
      </c>
      <c r="E721" t="s">
        <v>527</v>
      </c>
      <c r="F721" t="s">
        <v>117</v>
      </c>
      <c r="G721">
        <v>1</v>
      </c>
      <c r="H721" s="3">
        <v>1950</v>
      </c>
      <c r="I721" s="3">
        <v>1950</v>
      </c>
      <c r="J721" t="s">
        <v>76</v>
      </c>
      <c r="K721" t="s">
        <v>83</v>
      </c>
      <c r="L721" s="3">
        <f>SUM(SalesData3[Sales Amount (PKR)])</f>
        <v>11946830</v>
      </c>
    </row>
    <row r="722" spans="1:12" ht="14.25" customHeight="1" x14ac:dyDescent="0.45">
      <c r="A722" t="s">
        <v>1019</v>
      </c>
      <c r="B722" s="2" t="s">
        <v>537</v>
      </c>
      <c r="C722" t="s">
        <v>89</v>
      </c>
      <c r="D722" t="s">
        <v>472</v>
      </c>
      <c r="E722" t="s">
        <v>691</v>
      </c>
      <c r="F722" t="s">
        <v>117</v>
      </c>
      <c r="G722">
        <v>2</v>
      </c>
      <c r="H722" s="3">
        <v>970</v>
      </c>
      <c r="I722" s="3">
        <v>1940</v>
      </c>
      <c r="J722" t="s">
        <v>82</v>
      </c>
      <c r="K722" t="s">
        <v>77</v>
      </c>
      <c r="L722" s="3">
        <f>SUM(SalesData3[Sales Amount (PKR)])</f>
        <v>11946830</v>
      </c>
    </row>
    <row r="723" spans="1:12" ht="14.25" customHeight="1" x14ac:dyDescent="0.45">
      <c r="A723" t="s">
        <v>1020</v>
      </c>
      <c r="B723" s="2" t="s">
        <v>381</v>
      </c>
      <c r="C723" t="s">
        <v>100</v>
      </c>
      <c r="D723" t="s">
        <v>334</v>
      </c>
      <c r="E723" t="s">
        <v>527</v>
      </c>
      <c r="F723" t="s">
        <v>90</v>
      </c>
      <c r="G723">
        <v>1</v>
      </c>
      <c r="H723" s="3">
        <v>1940</v>
      </c>
      <c r="I723" s="3">
        <v>1940</v>
      </c>
      <c r="J723" t="s">
        <v>82</v>
      </c>
      <c r="K723" t="s">
        <v>83</v>
      </c>
      <c r="L723" s="3">
        <f>SUM(SalesData3[Sales Amount (PKR)])</f>
        <v>11946830</v>
      </c>
    </row>
    <row r="724" spans="1:12" ht="14.25" customHeight="1" x14ac:dyDescent="0.45">
      <c r="A724" t="s">
        <v>1021</v>
      </c>
      <c r="B724" s="2" t="s">
        <v>445</v>
      </c>
      <c r="C724" t="s">
        <v>72</v>
      </c>
      <c r="D724" t="s">
        <v>334</v>
      </c>
      <c r="E724" t="s">
        <v>527</v>
      </c>
      <c r="F724" t="s">
        <v>97</v>
      </c>
      <c r="G724">
        <v>1</v>
      </c>
      <c r="H724" s="3">
        <v>1940</v>
      </c>
      <c r="I724" s="3">
        <v>1940</v>
      </c>
      <c r="J724" t="s">
        <v>76</v>
      </c>
      <c r="K724" t="s">
        <v>83</v>
      </c>
      <c r="L724" s="3">
        <f>SUM(SalesData3[Sales Amount (PKR)])</f>
        <v>11946830</v>
      </c>
    </row>
    <row r="725" spans="1:12" ht="14.25" customHeight="1" x14ac:dyDescent="0.45">
      <c r="A725" t="s">
        <v>1022</v>
      </c>
      <c r="B725" s="2" t="s">
        <v>291</v>
      </c>
      <c r="C725" t="s">
        <v>89</v>
      </c>
      <c r="D725" t="s">
        <v>472</v>
      </c>
      <c r="E725" t="s">
        <v>691</v>
      </c>
      <c r="F725" t="s">
        <v>75</v>
      </c>
      <c r="G725">
        <v>2</v>
      </c>
      <c r="H725" s="3">
        <v>970</v>
      </c>
      <c r="I725" s="3">
        <v>1940</v>
      </c>
      <c r="J725" t="s">
        <v>82</v>
      </c>
      <c r="K725" t="s">
        <v>83</v>
      </c>
      <c r="L725" s="3">
        <f>SUM(SalesData3[Sales Amount (PKR)])</f>
        <v>11946830</v>
      </c>
    </row>
    <row r="726" spans="1:12" ht="14.25" customHeight="1" x14ac:dyDescent="0.45">
      <c r="A726" t="s">
        <v>1023</v>
      </c>
      <c r="B726" s="2" t="s">
        <v>249</v>
      </c>
      <c r="C726" t="s">
        <v>80</v>
      </c>
      <c r="D726" t="s">
        <v>334</v>
      </c>
      <c r="E726" t="s">
        <v>527</v>
      </c>
      <c r="F726" t="s">
        <v>86</v>
      </c>
      <c r="G726">
        <v>1</v>
      </c>
      <c r="H726" s="3">
        <v>1920</v>
      </c>
      <c r="I726" s="3">
        <v>1920</v>
      </c>
      <c r="J726" t="s">
        <v>82</v>
      </c>
      <c r="K726" t="s">
        <v>83</v>
      </c>
      <c r="L726" s="3">
        <f>SUM(SalesData3[Sales Amount (PKR)])</f>
        <v>11946830</v>
      </c>
    </row>
    <row r="727" spans="1:12" ht="14.25" customHeight="1" x14ac:dyDescent="0.45">
      <c r="A727" t="s">
        <v>1024</v>
      </c>
      <c r="B727" s="2" t="s">
        <v>119</v>
      </c>
      <c r="C727" t="s">
        <v>89</v>
      </c>
      <c r="D727" t="s">
        <v>472</v>
      </c>
      <c r="E727" t="s">
        <v>691</v>
      </c>
      <c r="F727" t="s">
        <v>107</v>
      </c>
      <c r="G727">
        <v>2</v>
      </c>
      <c r="H727" s="3">
        <v>960</v>
      </c>
      <c r="I727" s="3">
        <v>1920</v>
      </c>
      <c r="J727" t="s">
        <v>82</v>
      </c>
      <c r="K727" t="s">
        <v>83</v>
      </c>
      <c r="L727" s="3">
        <f>SUM(SalesData3[Sales Amount (PKR)])</f>
        <v>11946830</v>
      </c>
    </row>
    <row r="728" spans="1:12" ht="14.25" customHeight="1" x14ac:dyDescent="0.45">
      <c r="A728" t="s">
        <v>1025</v>
      </c>
      <c r="B728" s="2" t="s">
        <v>332</v>
      </c>
      <c r="C728" t="s">
        <v>96</v>
      </c>
      <c r="D728" t="s">
        <v>472</v>
      </c>
      <c r="E728" t="s">
        <v>691</v>
      </c>
      <c r="F728" t="s">
        <v>86</v>
      </c>
      <c r="G728">
        <v>2</v>
      </c>
      <c r="H728" s="3">
        <v>960</v>
      </c>
      <c r="I728" s="3">
        <v>1920</v>
      </c>
      <c r="J728" t="s">
        <v>82</v>
      </c>
      <c r="K728" t="s">
        <v>83</v>
      </c>
      <c r="L728" s="3">
        <f>SUM(SalesData3[Sales Amount (PKR)])</f>
        <v>11946830</v>
      </c>
    </row>
    <row r="729" spans="1:12" ht="14.25" customHeight="1" x14ac:dyDescent="0.45">
      <c r="A729" t="s">
        <v>1026</v>
      </c>
      <c r="B729" s="2" t="s">
        <v>256</v>
      </c>
      <c r="C729" t="s">
        <v>80</v>
      </c>
      <c r="D729" t="s">
        <v>334</v>
      </c>
      <c r="E729" t="s">
        <v>527</v>
      </c>
      <c r="F729" t="s">
        <v>75</v>
      </c>
      <c r="G729">
        <v>1</v>
      </c>
      <c r="H729" s="3">
        <v>1910</v>
      </c>
      <c r="I729" s="3">
        <v>1910</v>
      </c>
      <c r="J729" t="s">
        <v>76</v>
      </c>
      <c r="K729" t="s">
        <v>93</v>
      </c>
      <c r="L729" s="3">
        <f>SUM(SalesData3[Sales Amount (PKR)])</f>
        <v>11946830</v>
      </c>
    </row>
    <row r="730" spans="1:12" ht="14.25" customHeight="1" x14ac:dyDescent="0.45">
      <c r="A730" t="s">
        <v>1027</v>
      </c>
      <c r="B730" s="2" t="s">
        <v>569</v>
      </c>
      <c r="C730" t="s">
        <v>89</v>
      </c>
      <c r="D730" t="s">
        <v>334</v>
      </c>
      <c r="E730" t="s">
        <v>527</v>
      </c>
      <c r="F730" t="s">
        <v>81</v>
      </c>
      <c r="G730">
        <v>1</v>
      </c>
      <c r="H730" s="3">
        <v>1910</v>
      </c>
      <c r="I730" s="3">
        <v>1910</v>
      </c>
      <c r="J730" t="s">
        <v>82</v>
      </c>
      <c r="K730" t="s">
        <v>83</v>
      </c>
      <c r="L730" s="3">
        <f>SUM(SalesData3[Sales Amount (PKR)])</f>
        <v>11946830</v>
      </c>
    </row>
    <row r="731" spans="1:12" ht="14.25" customHeight="1" x14ac:dyDescent="0.45">
      <c r="A731" t="s">
        <v>1028</v>
      </c>
      <c r="B731" s="2" t="s">
        <v>188</v>
      </c>
      <c r="C731" t="s">
        <v>100</v>
      </c>
      <c r="D731" t="s">
        <v>472</v>
      </c>
      <c r="E731" t="s">
        <v>691</v>
      </c>
      <c r="F731" t="s">
        <v>75</v>
      </c>
      <c r="G731">
        <v>2</v>
      </c>
      <c r="H731" s="3">
        <v>950</v>
      </c>
      <c r="I731" s="3">
        <v>1900</v>
      </c>
      <c r="J731" t="s">
        <v>82</v>
      </c>
      <c r="K731" t="s">
        <v>83</v>
      </c>
      <c r="L731" s="3">
        <f>SUM(SalesData3[Sales Amount (PKR)])</f>
        <v>11946830</v>
      </c>
    </row>
    <row r="732" spans="1:12" ht="14.25" customHeight="1" x14ac:dyDescent="0.45">
      <c r="A732" t="s">
        <v>1029</v>
      </c>
      <c r="B732" s="2" t="s">
        <v>791</v>
      </c>
      <c r="C732" t="s">
        <v>80</v>
      </c>
      <c r="D732" t="s">
        <v>472</v>
      </c>
      <c r="E732" t="s">
        <v>691</v>
      </c>
      <c r="F732" t="s">
        <v>81</v>
      </c>
      <c r="G732">
        <v>2</v>
      </c>
      <c r="H732" s="3">
        <v>950</v>
      </c>
      <c r="I732" s="3">
        <v>1900</v>
      </c>
      <c r="J732" t="s">
        <v>76</v>
      </c>
      <c r="K732" t="s">
        <v>93</v>
      </c>
      <c r="L732" s="3">
        <f>SUM(SalesData3[Sales Amount (PKR)])</f>
        <v>11946830</v>
      </c>
    </row>
    <row r="733" spans="1:12" ht="14.25" customHeight="1" x14ac:dyDescent="0.45">
      <c r="A733" t="s">
        <v>1030</v>
      </c>
      <c r="B733" s="2" t="s">
        <v>200</v>
      </c>
      <c r="C733" t="s">
        <v>96</v>
      </c>
      <c r="D733" t="s">
        <v>472</v>
      </c>
      <c r="E733" t="s">
        <v>691</v>
      </c>
      <c r="F733" t="s">
        <v>97</v>
      </c>
      <c r="G733">
        <v>2</v>
      </c>
      <c r="H733" s="3">
        <v>950</v>
      </c>
      <c r="I733" s="3">
        <v>1900</v>
      </c>
      <c r="J733" t="s">
        <v>76</v>
      </c>
      <c r="K733" t="s">
        <v>93</v>
      </c>
      <c r="L733" s="3">
        <f>SUM(SalesData3[Sales Amount (PKR)])</f>
        <v>11946830</v>
      </c>
    </row>
    <row r="734" spans="1:12" ht="14.25" customHeight="1" x14ac:dyDescent="0.45">
      <c r="A734" t="s">
        <v>1031</v>
      </c>
      <c r="B734" s="2" t="s">
        <v>231</v>
      </c>
      <c r="C734" t="s">
        <v>96</v>
      </c>
      <c r="D734" t="s">
        <v>334</v>
      </c>
      <c r="E734" t="s">
        <v>527</v>
      </c>
      <c r="F734" t="s">
        <v>131</v>
      </c>
      <c r="G734">
        <v>1</v>
      </c>
      <c r="H734" s="3">
        <v>1900</v>
      </c>
      <c r="I734" s="3">
        <v>1900</v>
      </c>
      <c r="J734" t="s">
        <v>76</v>
      </c>
      <c r="K734" t="s">
        <v>93</v>
      </c>
      <c r="L734" s="3">
        <f>SUM(SalesData3[Sales Amount (PKR)])</f>
        <v>11946830</v>
      </c>
    </row>
    <row r="735" spans="1:12" ht="14.25" customHeight="1" x14ac:dyDescent="0.45">
      <c r="A735" t="s">
        <v>1032</v>
      </c>
      <c r="B735" s="2" t="s">
        <v>526</v>
      </c>
      <c r="C735" t="s">
        <v>80</v>
      </c>
      <c r="D735" t="s">
        <v>334</v>
      </c>
      <c r="E735" t="s">
        <v>527</v>
      </c>
      <c r="F735" t="s">
        <v>75</v>
      </c>
      <c r="G735">
        <v>1</v>
      </c>
      <c r="H735" s="3">
        <v>1900</v>
      </c>
      <c r="I735" s="3">
        <v>1900</v>
      </c>
      <c r="J735" t="s">
        <v>76</v>
      </c>
      <c r="K735" t="s">
        <v>93</v>
      </c>
      <c r="L735" s="3">
        <f>SUM(SalesData3[Sales Amount (PKR)])</f>
        <v>11946830</v>
      </c>
    </row>
    <row r="736" spans="1:12" ht="14.25" customHeight="1" x14ac:dyDescent="0.45">
      <c r="A736" t="s">
        <v>1033</v>
      </c>
      <c r="B736" s="2" t="s">
        <v>156</v>
      </c>
      <c r="C736" t="s">
        <v>89</v>
      </c>
      <c r="D736" t="s">
        <v>472</v>
      </c>
      <c r="E736" t="s">
        <v>691</v>
      </c>
      <c r="F736" t="s">
        <v>86</v>
      </c>
      <c r="G736">
        <v>2</v>
      </c>
      <c r="H736" s="3">
        <v>950</v>
      </c>
      <c r="I736" s="3">
        <v>1900</v>
      </c>
      <c r="J736" t="s">
        <v>76</v>
      </c>
      <c r="K736" t="s">
        <v>93</v>
      </c>
      <c r="L736" s="3">
        <f>SUM(SalesData3[Sales Amount (PKR)])</f>
        <v>11946830</v>
      </c>
    </row>
    <row r="737" spans="1:12" ht="14.25" customHeight="1" x14ac:dyDescent="0.45">
      <c r="A737" t="s">
        <v>1034</v>
      </c>
      <c r="B737" s="2" t="s">
        <v>192</v>
      </c>
      <c r="C737" t="s">
        <v>96</v>
      </c>
      <c r="D737" t="s">
        <v>472</v>
      </c>
      <c r="E737" t="s">
        <v>691</v>
      </c>
      <c r="F737" t="s">
        <v>140</v>
      </c>
      <c r="G737">
        <v>2</v>
      </c>
      <c r="H737" s="3">
        <v>950</v>
      </c>
      <c r="I737" s="3">
        <v>1900</v>
      </c>
      <c r="J737" t="s">
        <v>76</v>
      </c>
      <c r="K737" t="s">
        <v>77</v>
      </c>
      <c r="L737" s="3">
        <f>SUM(SalesData3[Sales Amount (PKR)])</f>
        <v>11946830</v>
      </c>
    </row>
    <row r="738" spans="1:12" ht="14.25" customHeight="1" x14ac:dyDescent="0.45">
      <c r="A738" t="s">
        <v>1035</v>
      </c>
      <c r="B738" s="2" t="s">
        <v>455</v>
      </c>
      <c r="C738" t="s">
        <v>96</v>
      </c>
      <c r="D738" t="s">
        <v>334</v>
      </c>
      <c r="E738" t="s">
        <v>527</v>
      </c>
      <c r="F738" t="s">
        <v>81</v>
      </c>
      <c r="G738">
        <v>1</v>
      </c>
      <c r="H738" s="3">
        <v>1890</v>
      </c>
      <c r="I738" s="3">
        <v>1890</v>
      </c>
      <c r="J738" t="s">
        <v>82</v>
      </c>
      <c r="K738" t="s">
        <v>77</v>
      </c>
      <c r="L738" s="3">
        <f>SUM(SalesData3[Sales Amount (PKR)])</f>
        <v>11946830</v>
      </c>
    </row>
    <row r="739" spans="1:12" ht="14.25" customHeight="1" x14ac:dyDescent="0.45">
      <c r="A739" t="s">
        <v>1036</v>
      </c>
      <c r="B739" s="2" t="s">
        <v>337</v>
      </c>
      <c r="C739" t="s">
        <v>80</v>
      </c>
      <c r="D739" t="s">
        <v>334</v>
      </c>
      <c r="E739" t="s">
        <v>527</v>
      </c>
      <c r="F739" t="s">
        <v>97</v>
      </c>
      <c r="G739">
        <v>1</v>
      </c>
      <c r="H739" s="3">
        <v>1890</v>
      </c>
      <c r="I739" s="3">
        <v>1890</v>
      </c>
      <c r="J739" t="s">
        <v>76</v>
      </c>
      <c r="K739" t="s">
        <v>93</v>
      </c>
      <c r="L739" s="3">
        <f>SUM(SalesData3[Sales Amount (PKR)])</f>
        <v>11946830</v>
      </c>
    </row>
    <row r="740" spans="1:12" ht="14.25" customHeight="1" x14ac:dyDescent="0.45">
      <c r="A740" t="s">
        <v>1037</v>
      </c>
      <c r="B740" s="2" t="s">
        <v>376</v>
      </c>
      <c r="C740" t="s">
        <v>96</v>
      </c>
      <c r="D740" t="s">
        <v>334</v>
      </c>
      <c r="E740" t="s">
        <v>527</v>
      </c>
      <c r="F740" t="s">
        <v>75</v>
      </c>
      <c r="G740">
        <v>1</v>
      </c>
      <c r="H740" s="3">
        <v>1890</v>
      </c>
      <c r="I740" s="3">
        <v>1890</v>
      </c>
      <c r="J740" t="s">
        <v>76</v>
      </c>
      <c r="K740" t="s">
        <v>83</v>
      </c>
      <c r="L740" s="3">
        <f>SUM(SalesData3[Sales Amount (PKR)])</f>
        <v>11946830</v>
      </c>
    </row>
    <row r="741" spans="1:12" ht="14.25" customHeight="1" x14ac:dyDescent="0.45">
      <c r="A741" t="s">
        <v>1038</v>
      </c>
      <c r="B741" s="2" t="s">
        <v>585</v>
      </c>
      <c r="C741" t="s">
        <v>89</v>
      </c>
      <c r="D741" t="s">
        <v>334</v>
      </c>
      <c r="E741" t="s">
        <v>527</v>
      </c>
      <c r="F741" t="s">
        <v>140</v>
      </c>
      <c r="G741">
        <v>1</v>
      </c>
      <c r="H741" s="3">
        <v>1880</v>
      </c>
      <c r="I741" s="3">
        <v>1880</v>
      </c>
      <c r="J741" t="s">
        <v>82</v>
      </c>
      <c r="K741" t="s">
        <v>83</v>
      </c>
      <c r="L741" s="3">
        <f>SUM(SalesData3[Sales Amount (PKR)])</f>
        <v>11946830</v>
      </c>
    </row>
    <row r="742" spans="1:12" ht="14.25" customHeight="1" x14ac:dyDescent="0.45">
      <c r="A742" t="s">
        <v>1039</v>
      </c>
      <c r="B742" s="2" t="s">
        <v>695</v>
      </c>
      <c r="C742" t="s">
        <v>89</v>
      </c>
      <c r="D742" t="s">
        <v>472</v>
      </c>
      <c r="E742" t="s">
        <v>691</v>
      </c>
      <c r="F742" t="s">
        <v>81</v>
      </c>
      <c r="G742">
        <v>2</v>
      </c>
      <c r="H742" s="3">
        <v>940</v>
      </c>
      <c r="I742" s="3">
        <v>1880</v>
      </c>
      <c r="J742" t="s">
        <v>82</v>
      </c>
      <c r="K742" t="s">
        <v>83</v>
      </c>
      <c r="L742" s="3">
        <f>SUM(SalesData3[Sales Amount (PKR)])</f>
        <v>11946830</v>
      </c>
    </row>
    <row r="743" spans="1:12" ht="14.25" customHeight="1" x14ac:dyDescent="0.45">
      <c r="A743" t="s">
        <v>1040</v>
      </c>
      <c r="B743" s="2" t="s">
        <v>646</v>
      </c>
      <c r="C743" t="s">
        <v>96</v>
      </c>
      <c r="D743" t="s">
        <v>334</v>
      </c>
      <c r="E743" t="s">
        <v>527</v>
      </c>
      <c r="F743" t="s">
        <v>86</v>
      </c>
      <c r="G743">
        <v>1</v>
      </c>
      <c r="H743" s="3">
        <v>1880</v>
      </c>
      <c r="I743" s="3">
        <v>1880</v>
      </c>
      <c r="J743" t="s">
        <v>82</v>
      </c>
      <c r="K743" t="s">
        <v>77</v>
      </c>
      <c r="L743" s="3">
        <f>SUM(SalesData3[Sales Amount (PKR)])</f>
        <v>11946830</v>
      </c>
    </row>
    <row r="744" spans="1:12" ht="14.25" customHeight="1" x14ac:dyDescent="0.45">
      <c r="A744" t="s">
        <v>1041</v>
      </c>
      <c r="B744" s="2" t="s">
        <v>158</v>
      </c>
      <c r="C744" t="s">
        <v>96</v>
      </c>
      <c r="D744" t="s">
        <v>398</v>
      </c>
      <c r="E744" t="s">
        <v>475</v>
      </c>
      <c r="F744" t="s">
        <v>81</v>
      </c>
      <c r="G744">
        <v>1</v>
      </c>
      <c r="H744" s="3">
        <v>1870</v>
      </c>
      <c r="I744" s="3">
        <v>1870</v>
      </c>
      <c r="J744" t="s">
        <v>76</v>
      </c>
      <c r="K744" t="s">
        <v>77</v>
      </c>
      <c r="L744" s="3">
        <f>SUM(SalesData3[Sales Amount (PKR)])</f>
        <v>11946830</v>
      </c>
    </row>
    <row r="745" spans="1:12" ht="14.25" customHeight="1" x14ac:dyDescent="0.45">
      <c r="A745" t="s">
        <v>1042</v>
      </c>
      <c r="B745" s="2" t="s">
        <v>770</v>
      </c>
      <c r="C745" t="s">
        <v>96</v>
      </c>
      <c r="D745" t="s">
        <v>334</v>
      </c>
      <c r="E745" t="s">
        <v>527</v>
      </c>
      <c r="F745" t="s">
        <v>123</v>
      </c>
      <c r="G745">
        <v>1</v>
      </c>
      <c r="H745" s="3">
        <v>1870</v>
      </c>
      <c r="I745" s="3">
        <v>1870</v>
      </c>
      <c r="J745" t="s">
        <v>76</v>
      </c>
      <c r="K745" t="s">
        <v>93</v>
      </c>
      <c r="L745" s="3">
        <f>SUM(SalesData3[Sales Amount (PKR)])</f>
        <v>11946830</v>
      </c>
    </row>
    <row r="746" spans="1:12" ht="14.25" customHeight="1" x14ac:dyDescent="0.45">
      <c r="A746" t="s">
        <v>1043</v>
      </c>
      <c r="B746" s="2" t="s">
        <v>817</v>
      </c>
      <c r="C746" t="s">
        <v>96</v>
      </c>
      <c r="D746" t="s">
        <v>398</v>
      </c>
      <c r="E746" t="s">
        <v>475</v>
      </c>
      <c r="F746" t="s">
        <v>107</v>
      </c>
      <c r="G746">
        <v>1</v>
      </c>
      <c r="H746" s="3">
        <v>1870</v>
      </c>
      <c r="I746" s="3">
        <v>1870</v>
      </c>
      <c r="J746" t="s">
        <v>76</v>
      </c>
      <c r="K746" t="s">
        <v>83</v>
      </c>
      <c r="L746" s="3">
        <f>SUM(SalesData3[Sales Amount (PKR)])</f>
        <v>11946830</v>
      </c>
    </row>
    <row r="747" spans="1:12" ht="14.25" customHeight="1" x14ac:dyDescent="0.45">
      <c r="A747" t="s">
        <v>1044</v>
      </c>
      <c r="B747" s="2" t="s">
        <v>585</v>
      </c>
      <c r="C747" t="s">
        <v>96</v>
      </c>
      <c r="D747" t="s">
        <v>398</v>
      </c>
      <c r="E747" t="s">
        <v>475</v>
      </c>
      <c r="F747" t="s">
        <v>117</v>
      </c>
      <c r="G747">
        <v>1</v>
      </c>
      <c r="H747" s="3">
        <v>1870</v>
      </c>
      <c r="I747" s="3">
        <v>1870</v>
      </c>
      <c r="J747" t="s">
        <v>82</v>
      </c>
      <c r="K747" t="s">
        <v>83</v>
      </c>
      <c r="L747" s="3">
        <f>SUM(SalesData3[Sales Amount (PKR)])</f>
        <v>11946830</v>
      </c>
    </row>
    <row r="748" spans="1:12" ht="14.25" customHeight="1" x14ac:dyDescent="0.45">
      <c r="A748" t="s">
        <v>1045</v>
      </c>
      <c r="B748" s="2" t="s">
        <v>699</v>
      </c>
      <c r="C748" t="s">
        <v>89</v>
      </c>
      <c r="D748" t="s">
        <v>334</v>
      </c>
      <c r="E748" t="s">
        <v>527</v>
      </c>
      <c r="F748" t="s">
        <v>90</v>
      </c>
      <c r="G748">
        <v>1</v>
      </c>
      <c r="H748" s="3">
        <v>1870</v>
      </c>
      <c r="I748" s="3">
        <v>1870</v>
      </c>
      <c r="J748" t="s">
        <v>76</v>
      </c>
      <c r="K748" t="s">
        <v>77</v>
      </c>
      <c r="L748" s="3">
        <f>SUM(SalesData3[Sales Amount (PKR)])</f>
        <v>11946830</v>
      </c>
    </row>
    <row r="749" spans="1:12" ht="14.25" customHeight="1" x14ac:dyDescent="0.45">
      <c r="A749" t="s">
        <v>1046</v>
      </c>
      <c r="B749" s="2" t="s">
        <v>526</v>
      </c>
      <c r="C749" t="s">
        <v>96</v>
      </c>
      <c r="D749" t="s">
        <v>334</v>
      </c>
      <c r="E749" t="s">
        <v>527</v>
      </c>
      <c r="F749" t="s">
        <v>81</v>
      </c>
      <c r="G749">
        <v>1</v>
      </c>
      <c r="H749" s="3">
        <v>1870</v>
      </c>
      <c r="I749" s="3">
        <v>1870</v>
      </c>
      <c r="J749" t="s">
        <v>82</v>
      </c>
      <c r="K749" t="s">
        <v>93</v>
      </c>
      <c r="L749" s="3">
        <f>SUM(SalesData3[Sales Amount (PKR)])</f>
        <v>11946830</v>
      </c>
    </row>
    <row r="750" spans="1:12" ht="14.25" customHeight="1" x14ac:dyDescent="0.45">
      <c r="A750" t="s">
        <v>1047</v>
      </c>
      <c r="B750" s="2" t="s">
        <v>276</v>
      </c>
      <c r="C750" t="s">
        <v>96</v>
      </c>
      <c r="D750" t="s">
        <v>334</v>
      </c>
      <c r="E750" t="s">
        <v>527</v>
      </c>
      <c r="F750" t="s">
        <v>90</v>
      </c>
      <c r="G750">
        <v>1</v>
      </c>
      <c r="H750" s="3">
        <v>1870</v>
      </c>
      <c r="I750" s="3">
        <v>1870</v>
      </c>
      <c r="J750" t="s">
        <v>82</v>
      </c>
      <c r="K750" t="s">
        <v>83</v>
      </c>
      <c r="L750" s="3">
        <f>SUM(SalesData3[Sales Amount (PKR)])</f>
        <v>11946830</v>
      </c>
    </row>
    <row r="751" spans="1:12" ht="14.25" customHeight="1" x14ac:dyDescent="0.45">
      <c r="A751" t="s">
        <v>1048</v>
      </c>
      <c r="B751" s="2" t="s">
        <v>481</v>
      </c>
      <c r="C751" t="s">
        <v>72</v>
      </c>
      <c r="D751" t="s">
        <v>398</v>
      </c>
      <c r="E751" t="s">
        <v>475</v>
      </c>
      <c r="F751" t="s">
        <v>131</v>
      </c>
      <c r="G751">
        <v>1</v>
      </c>
      <c r="H751" s="3">
        <v>1870</v>
      </c>
      <c r="I751" s="3">
        <v>1870</v>
      </c>
      <c r="J751" t="s">
        <v>82</v>
      </c>
      <c r="K751" t="s">
        <v>93</v>
      </c>
      <c r="L751" s="3">
        <f>SUM(SalesData3[Sales Amount (PKR)])</f>
        <v>11946830</v>
      </c>
    </row>
    <row r="752" spans="1:12" ht="14.25" customHeight="1" x14ac:dyDescent="0.45">
      <c r="A752" t="s">
        <v>1049</v>
      </c>
      <c r="B752" s="2" t="s">
        <v>135</v>
      </c>
      <c r="C752" t="s">
        <v>89</v>
      </c>
      <c r="D752" t="s">
        <v>334</v>
      </c>
      <c r="E752" t="s">
        <v>527</v>
      </c>
      <c r="F752" t="s">
        <v>117</v>
      </c>
      <c r="G752">
        <v>1</v>
      </c>
      <c r="H752" s="3">
        <v>1860</v>
      </c>
      <c r="I752" s="3">
        <v>1860</v>
      </c>
      <c r="J752" t="s">
        <v>76</v>
      </c>
      <c r="K752" t="s">
        <v>83</v>
      </c>
      <c r="L752" s="3">
        <f>SUM(SalesData3[Sales Amount (PKR)])</f>
        <v>11946830</v>
      </c>
    </row>
    <row r="753" spans="1:12" ht="14.25" customHeight="1" x14ac:dyDescent="0.45">
      <c r="A753" t="s">
        <v>1050</v>
      </c>
      <c r="B753" s="2" t="s">
        <v>234</v>
      </c>
      <c r="C753" t="s">
        <v>96</v>
      </c>
      <c r="D753" t="s">
        <v>398</v>
      </c>
      <c r="E753" t="s">
        <v>475</v>
      </c>
      <c r="F753" t="s">
        <v>140</v>
      </c>
      <c r="G753">
        <v>1</v>
      </c>
      <c r="H753" s="3">
        <v>1860</v>
      </c>
      <c r="I753" s="3">
        <v>1860</v>
      </c>
      <c r="J753" t="s">
        <v>82</v>
      </c>
      <c r="K753" t="s">
        <v>93</v>
      </c>
      <c r="L753" s="3">
        <f>SUM(SalesData3[Sales Amount (PKR)])</f>
        <v>11946830</v>
      </c>
    </row>
    <row r="754" spans="1:12" ht="14.25" customHeight="1" x14ac:dyDescent="0.45">
      <c r="A754" t="s">
        <v>1051</v>
      </c>
      <c r="B754" s="2" t="s">
        <v>326</v>
      </c>
      <c r="C754" t="s">
        <v>96</v>
      </c>
      <c r="D754" t="s">
        <v>472</v>
      </c>
      <c r="E754" t="s">
        <v>691</v>
      </c>
      <c r="F754" t="s">
        <v>131</v>
      </c>
      <c r="G754">
        <v>2</v>
      </c>
      <c r="H754" s="3">
        <v>930</v>
      </c>
      <c r="I754" s="3">
        <v>1860</v>
      </c>
      <c r="J754" t="s">
        <v>76</v>
      </c>
      <c r="K754" t="s">
        <v>93</v>
      </c>
      <c r="L754" s="3">
        <f>SUM(SalesData3[Sales Amount (PKR)])</f>
        <v>11946830</v>
      </c>
    </row>
    <row r="755" spans="1:12" ht="14.25" customHeight="1" x14ac:dyDescent="0.45">
      <c r="A755" t="s">
        <v>1052</v>
      </c>
      <c r="B755" s="2" t="s">
        <v>227</v>
      </c>
      <c r="C755" t="s">
        <v>89</v>
      </c>
      <c r="D755" t="s">
        <v>334</v>
      </c>
      <c r="E755" t="s">
        <v>527</v>
      </c>
      <c r="F755" t="s">
        <v>90</v>
      </c>
      <c r="G755">
        <v>1</v>
      </c>
      <c r="H755" s="3">
        <v>1860</v>
      </c>
      <c r="I755" s="3">
        <v>1860</v>
      </c>
      <c r="J755" t="s">
        <v>82</v>
      </c>
      <c r="K755" t="s">
        <v>83</v>
      </c>
      <c r="L755" s="3">
        <f>SUM(SalesData3[Sales Amount (PKR)])</f>
        <v>11946830</v>
      </c>
    </row>
    <row r="756" spans="1:12" ht="14.25" customHeight="1" x14ac:dyDescent="0.45">
      <c r="A756" t="s">
        <v>1053</v>
      </c>
      <c r="B756" s="2" t="s">
        <v>298</v>
      </c>
      <c r="C756" t="s">
        <v>72</v>
      </c>
      <c r="D756" t="s">
        <v>398</v>
      </c>
      <c r="E756" t="s">
        <v>475</v>
      </c>
      <c r="F756" t="s">
        <v>117</v>
      </c>
      <c r="G756">
        <v>1</v>
      </c>
      <c r="H756" s="3">
        <v>1860</v>
      </c>
      <c r="I756" s="3">
        <v>1860</v>
      </c>
      <c r="J756" t="s">
        <v>76</v>
      </c>
      <c r="K756" t="s">
        <v>93</v>
      </c>
      <c r="L756" s="3">
        <f>SUM(SalesData3[Sales Amount (PKR)])</f>
        <v>11946830</v>
      </c>
    </row>
    <row r="757" spans="1:12" ht="14.25" customHeight="1" x14ac:dyDescent="0.45">
      <c r="A757" t="s">
        <v>1054</v>
      </c>
      <c r="B757" s="2" t="s">
        <v>597</v>
      </c>
      <c r="C757" t="s">
        <v>96</v>
      </c>
      <c r="D757" t="s">
        <v>334</v>
      </c>
      <c r="E757" t="s">
        <v>527</v>
      </c>
      <c r="F757" t="s">
        <v>75</v>
      </c>
      <c r="G757">
        <v>1</v>
      </c>
      <c r="H757" s="3">
        <v>1850</v>
      </c>
      <c r="I757" s="3">
        <v>1850</v>
      </c>
      <c r="J757" t="s">
        <v>76</v>
      </c>
      <c r="K757" t="s">
        <v>83</v>
      </c>
      <c r="L757" s="3">
        <f>SUM(SalesData3[Sales Amount (PKR)])</f>
        <v>11946830</v>
      </c>
    </row>
    <row r="758" spans="1:12" ht="14.25" customHeight="1" x14ac:dyDescent="0.45">
      <c r="A758" t="s">
        <v>1055</v>
      </c>
      <c r="B758" s="2" t="s">
        <v>591</v>
      </c>
      <c r="C758" t="s">
        <v>89</v>
      </c>
      <c r="D758" t="s">
        <v>398</v>
      </c>
      <c r="E758" t="s">
        <v>475</v>
      </c>
      <c r="F758" t="s">
        <v>140</v>
      </c>
      <c r="G758">
        <v>1</v>
      </c>
      <c r="H758" s="3">
        <v>1850</v>
      </c>
      <c r="I758" s="3">
        <v>1850</v>
      </c>
      <c r="J758" t="s">
        <v>82</v>
      </c>
      <c r="K758" t="s">
        <v>77</v>
      </c>
      <c r="L758" s="3">
        <f>SUM(SalesData3[Sales Amount (PKR)])</f>
        <v>11946830</v>
      </c>
    </row>
    <row r="759" spans="1:12" ht="14.25" customHeight="1" x14ac:dyDescent="0.45">
      <c r="A759" t="s">
        <v>1056</v>
      </c>
      <c r="B759" s="2" t="s">
        <v>445</v>
      </c>
      <c r="C759" t="s">
        <v>96</v>
      </c>
      <c r="D759" t="s">
        <v>398</v>
      </c>
      <c r="E759" t="s">
        <v>475</v>
      </c>
      <c r="F759" t="s">
        <v>97</v>
      </c>
      <c r="G759">
        <v>1</v>
      </c>
      <c r="H759" s="3">
        <v>1850</v>
      </c>
      <c r="I759" s="3">
        <v>1850</v>
      </c>
      <c r="J759" t="s">
        <v>76</v>
      </c>
      <c r="K759" t="s">
        <v>83</v>
      </c>
      <c r="L759" s="3">
        <f>SUM(SalesData3[Sales Amount (PKR)])</f>
        <v>11946830</v>
      </c>
    </row>
    <row r="760" spans="1:12" ht="14.25" customHeight="1" x14ac:dyDescent="0.45">
      <c r="A760" t="s">
        <v>1057</v>
      </c>
      <c r="B760" s="2" t="s">
        <v>583</v>
      </c>
      <c r="C760" t="s">
        <v>100</v>
      </c>
      <c r="D760" t="s">
        <v>334</v>
      </c>
      <c r="E760" t="s">
        <v>527</v>
      </c>
      <c r="F760" t="s">
        <v>140</v>
      </c>
      <c r="G760">
        <v>1</v>
      </c>
      <c r="H760" s="3">
        <v>1850</v>
      </c>
      <c r="I760" s="3">
        <v>1850</v>
      </c>
      <c r="J760" t="s">
        <v>76</v>
      </c>
      <c r="K760" t="s">
        <v>77</v>
      </c>
      <c r="L760" s="3">
        <f>SUM(SalesData3[Sales Amount (PKR)])</f>
        <v>11946830</v>
      </c>
    </row>
    <row r="761" spans="1:12" ht="14.25" customHeight="1" x14ac:dyDescent="0.45">
      <c r="A761" t="s">
        <v>1058</v>
      </c>
      <c r="B761" s="2" t="s">
        <v>583</v>
      </c>
      <c r="C761" t="s">
        <v>72</v>
      </c>
      <c r="D761" t="s">
        <v>334</v>
      </c>
      <c r="E761" t="s">
        <v>527</v>
      </c>
      <c r="F761" t="s">
        <v>81</v>
      </c>
      <c r="G761">
        <v>1</v>
      </c>
      <c r="H761" s="3">
        <v>1840</v>
      </c>
      <c r="I761" s="3">
        <v>1840</v>
      </c>
      <c r="J761" t="s">
        <v>76</v>
      </c>
      <c r="K761" t="s">
        <v>77</v>
      </c>
      <c r="L761" s="3">
        <f>SUM(SalesData3[Sales Amount (PKR)])</f>
        <v>11946830</v>
      </c>
    </row>
    <row r="762" spans="1:12" ht="14.25" customHeight="1" x14ac:dyDescent="0.45">
      <c r="A762" t="s">
        <v>1059</v>
      </c>
      <c r="B762" s="2" t="s">
        <v>142</v>
      </c>
      <c r="C762" t="s">
        <v>100</v>
      </c>
      <c r="D762" t="s">
        <v>398</v>
      </c>
      <c r="E762" t="s">
        <v>475</v>
      </c>
      <c r="F762" t="s">
        <v>117</v>
      </c>
      <c r="G762">
        <v>1</v>
      </c>
      <c r="H762" s="3">
        <v>1840</v>
      </c>
      <c r="I762" s="3">
        <v>1840</v>
      </c>
      <c r="J762" t="s">
        <v>76</v>
      </c>
      <c r="K762" t="s">
        <v>83</v>
      </c>
      <c r="L762" s="3">
        <f>SUM(SalesData3[Sales Amount (PKR)])</f>
        <v>11946830</v>
      </c>
    </row>
    <row r="763" spans="1:12" ht="14.25" customHeight="1" x14ac:dyDescent="0.45">
      <c r="A763" t="s">
        <v>1060</v>
      </c>
      <c r="B763" s="2" t="s">
        <v>318</v>
      </c>
      <c r="C763" t="s">
        <v>72</v>
      </c>
      <c r="D763" t="s">
        <v>334</v>
      </c>
      <c r="E763" t="s">
        <v>527</v>
      </c>
      <c r="F763" t="s">
        <v>107</v>
      </c>
      <c r="G763">
        <v>1</v>
      </c>
      <c r="H763" s="3">
        <v>1840</v>
      </c>
      <c r="I763" s="3">
        <v>1840</v>
      </c>
      <c r="J763" t="s">
        <v>76</v>
      </c>
      <c r="K763" t="s">
        <v>77</v>
      </c>
      <c r="L763" s="3">
        <f>SUM(SalesData3[Sales Amount (PKR)])</f>
        <v>11946830</v>
      </c>
    </row>
    <row r="764" spans="1:12" ht="14.25" customHeight="1" x14ac:dyDescent="0.45">
      <c r="A764" t="s">
        <v>1061</v>
      </c>
      <c r="B764" s="2" t="s">
        <v>258</v>
      </c>
      <c r="C764" t="s">
        <v>96</v>
      </c>
      <c r="D764" t="s">
        <v>398</v>
      </c>
      <c r="E764" t="s">
        <v>475</v>
      </c>
      <c r="F764" t="s">
        <v>90</v>
      </c>
      <c r="G764">
        <v>1</v>
      </c>
      <c r="H764" s="3">
        <v>1840</v>
      </c>
      <c r="I764" s="3">
        <v>1840</v>
      </c>
      <c r="J764" t="s">
        <v>82</v>
      </c>
      <c r="K764" t="s">
        <v>83</v>
      </c>
      <c r="L764" s="3">
        <f>SUM(SalesData3[Sales Amount (PKR)])</f>
        <v>11946830</v>
      </c>
    </row>
    <row r="765" spans="1:12" ht="14.25" customHeight="1" x14ac:dyDescent="0.45">
      <c r="A765" t="s">
        <v>1062</v>
      </c>
      <c r="B765" s="2" t="s">
        <v>188</v>
      </c>
      <c r="C765" t="s">
        <v>89</v>
      </c>
      <c r="D765" t="s">
        <v>398</v>
      </c>
      <c r="E765" t="s">
        <v>475</v>
      </c>
      <c r="F765" t="s">
        <v>117</v>
      </c>
      <c r="G765">
        <v>1</v>
      </c>
      <c r="H765" s="3">
        <v>1840</v>
      </c>
      <c r="I765" s="3">
        <v>1840</v>
      </c>
      <c r="J765" t="s">
        <v>76</v>
      </c>
      <c r="K765" t="s">
        <v>77</v>
      </c>
      <c r="L765" s="3">
        <f>SUM(SalesData3[Sales Amount (PKR)])</f>
        <v>11946830</v>
      </c>
    </row>
    <row r="766" spans="1:12" ht="14.25" customHeight="1" x14ac:dyDescent="0.45">
      <c r="A766" t="s">
        <v>1063</v>
      </c>
      <c r="B766" s="2" t="s">
        <v>869</v>
      </c>
      <c r="C766" t="s">
        <v>72</v>
      </c>
      <c r="D766" t="s">
        <v>398</v>
      </c>
      <c r="E766" t="s">
        <v>475</v>
      </c>
      <c r="F766" t="s">
        <v>123</v>
      </c>
      <c r="G766">
        <v>1</v>
      </c>
      <c r="H766" s="3">
        <v>1830</v>
      </c>
      <c r="I766" s="3">
        <v>1830</v>
      </c>
      <c r="J766" t="s">
        <v>82</v>
      </c>
      <c r="K766" t="s">
        <v>93</v>
      </c>
      <c r="L766" s="3">
        <f>SUM(SalesData3[Sales Amount (PKR)])</f>
        <v>11946830</v>
      </c>
    </row>
    <row r="767" spans="1:12" ht="14.25" customHeight="1" x14ac:dyDescent="0.45">
      <c r="A767" t="s">
        <v>1064</v>
      </c>
      <c r="B767" s="2" t="s">
        <v>632</v>
      </c>
      <c r="C767" t="s">
        <v>89</v>
      </c>
      <c r="D767" t="s">
        <v>398</v>
      </c>
      <c r="E767" t="s">
        <v>475</v>
      </c>
      <c r="F767" t="s">
        <v>123</v>
      </c>
      <c r="G767">
        <v>1</v>
      </c>
      <c r="H767" s="3">
        <v>1830</v>
      </c>
      <c r="I767" s="3">
        <v>1830</v>
      </c>
      <c r="J767" t="s">
        <v>76</v>
      </c>
      <c r="K767" t="s">
        <v>77</v>
      </c>
      <c r="L767" s="3">
        <f>SUM(SalesData3[Sales Amount (PKR)])</f>
        <v>11946830</v>
      </c>
    </row>
    <row r="768" spans="1:12" ht="14.25" customHeight="1" x14ac:dyDescent="0.45">
      <c r="A768" t="s">
        <v>1065</v>
      </c>
      <c r="B768" s="2" t="s">
        <v>436</v>
      </c>
      <c r="C768" t="s">
        <v>96</v>
      </c>
      <c r="D768" t="s">
        <v>398</v>
      </c>
      <c r="E768" t="s">
        <v>475</v>
      </c>
      <c r="F768" t="s">
        <v>97</v>
      </c>
      <c r="G768">
        <v>1</v>
      </c>
      <c r="H768" s="3">
        <v>1830</v>
      </c>
      <c r="I768" s="3">
        <v>1830</v>
      </c>
      <c r="J768" t="s">
        <v>82</v>
      </c>
      <c r="K768" t="s">
        <v>93</v>
      </c>
      <c r="L768" s="3">
        <f>SUM(SalesData3[Sales Amount (PKR)])</f>
        <v>11946830</v>
      </c>
    </row>
    <row r="769" spans="1:12" ht="14.25" customHeight="1" x14ac:dyDescent="0.45">
      <c r="A769" t="s">
        <v>1066</v>
      </c>
      <c r="B769" s="2" t="s">
        <v>133</v>
      </c>
      <c r="C769" t="s">
        <v>89</v>
      </c>
      <c r="D769" t="s">
        <v>472</v>
      </c>
      <c r="E769" t="s">
        <v>691</v>
      </c>
      <c r="F769" t="s">
        <v>97</v>
      </c>
      <c r="G769">
        <v>2</v>
      </c>
      <c r="H769" s="3">
        <v>910</v>
      </c>
      <c r="I769" s="3">
        <v>1820</v>
      </c>
      <c r="J769" t="s">
        <v>82</v>
      </c>
      <c r="K769" t="s">
        <v>83</v>
      </c>
      <c r="L769" s="3">
        <f>SUM(SalesData3[Sales Amount (PKR)])</f>
        <v>11946830</v>
      </c>
    </row>
    <row r="770" spans="1:12" ht="14.25" customHeight="1" x14ac:dyDescent="0.45">
      <c r="A770" t="s">
        <v>1067</v>
      </c>
      <c r="B770" s="2" t="s">
        <v>139</v>
      </c>
      <c r="C770" t="s">
        <v>96</v>
      </c>
      <c r="D770" t="s">
        <v>472</v>
      </c>
      <c r="E770" t="s">
        <v>691</v>
      </c>
      <c r="F770" t="s">
        <v>140</v>
      </c>
      <c r="G770">
        <v>2</v>
      </c>
      <c r="H770" s="3">
        <v>910</v>
      </c>
      <c r="I770" s="3">
        <v>1820</v>
      </c>
      <c r="J770" t="s">
        <v>82</v>
      </c>
      <c r="K770" t="s">
        <v>93</v>
      </c>
      <c r="L770" s="3">
        <f>SUM(SalesData3[Sales Amount (PKR)])</f>
        <v>11946830</v>
      </c>
    </row>
    <row r="771" spans="1:12" ht="14.25" customHeight="1" x14ac:dyDescent="0.45">
      <c r="A771" t="s">
        <v>1068</v>
      </c>
      <c r="B771" s="2" t="s">
        <v>240</v>
      </c>
      <c r="C771" t="s">
        <v>96</v>
      </c>
      <c r="D771" t="s">
        <v>334</v>
      </c>
      <c r="E771" t="s">
        <v>527</v>
      </c>
      <c r="F771" t="s">
        <v>131</v>
      </c>
      <c r="G771">
        <v>1</v>
      </c>
      <c r="H771" s="3">
        <v>1820</v>
      </c>
      <c r="I771" s="3">
        <v>1820</v>
      </c>
      <c r="J771" t="s">
        <v>76</v>
      </c>
      <c r="K771" t="s">
        <v>83</v>
      </c>
      <c r="L771" s="3">
        <f>SUM(SalesData3[Sales Amount (PKR)])</f>
        <v>11946830</v>
      </c>
    </row>
    <row r="772" spans="1:12" ht="14.25" customHeight="1" x14ac:dyDescent="0.45">
      <c r="A772" t="s">
        <v>1069</v>
      </c>
      <c r="B772" s="2" t="s">
        <v>869</v>
      </c>
      <c r="C772" t="s">
        <v>100</v>
      </c>
      <c r="D772" t="s">
        <v>398</v>
      </c>
      <c r="E772" t="s">
        <v>475</v>
      </c>
      <c r="F772" t="s">
        <v>86</v>
      </c>
      <c r="G772">
        <v>1</v>
      </c>
      <c r="H772" s="3">
        <v>1820</v>
      </c>
      <c r="I772" s="3">
        <v>1820</v>
      </c>
      <c r="J772" t="s">
        <v>76</v>
      </c>
      <c r="K772" t="s">
        <v>77</v>
      </c>
      <c r="L772" s="3">
        <f>SUM(SalesData3[Sales Amount (PKR)])</f>
        <v>11946830</v>
      </c>
    </row>
    <row r="773" spans="1:12" ht="14.25" customHeight="1" x14ac:dyDescent="0.45">
      <c r="A773" t="s">
        <v>1070</v>
      </c>
      <c r="B773" s="2" t="s">
        <v>234</v>
      </c>
      <c r="C773" t="s">
        <v>96</v>
      </c>
      <c r="D773" t="s">
        <v>398</v>
      </c>
      <c r="E773" t="s">
        <v>475</v>
      </c>
      <c r="F773" t="s">
        <v>75</v>
      </c>
      <c r="G773">
        <v>1</v>
      </c>
      <c r="H773" s="3">
        <v>1820</v>
      </c>
      <c r="I773" s="3">
        <v>1820</v>
      </c>
      <c r="J773" t="s">
        <v>76</v>
      </c>
      <c r="K773" t="s">
        <v>77</v>
      </c>
      <c r="L773" s="3">
        <f>SUM(SalesData3[Sales Amount (PKR)])</f>
        <v>11946830</v>
      </c>
    </row>
    <row r="774" spans="1:12" ht="14.25" customHeight="1" x14ac:dyDescent="0.45">
      <c r="A774" t="s">
        <v>1071</v>
      </c>
      <c r="B774" s="2" t="s">
        <v>571</v>
      </c>
      <c r="C774" t="s">
        <v>89</v>
      </c>
      <c r="D774" t="s">
        <v>398</v>
      </c>
      <c r="E774" t="s">
        <v>475</v>
      </c>
      <c r="F774" t="s">
        <v>117</v>
      </c>
      <c r="G774">
        <v>1</v>
      </c>
      <c r="H774" s="3">
        <v>1810</v>
      </c>
      <c r="I774" s="3">
        <v>1810</v>
      </c>
      <c r="J774" t="s">
        <v>76</v>
      </c>
      <c r="K774" t="s">
        <v>93</v>
      </c>
      <c r="L774" s="3">
        <f>SUM(SalesData3[Sales Amount (PKR)])</f>
        <v>11946830</v>
      </c>
    </row>
    <row r="775" spans="1:12" ht="14.25" customHeight="1" x14ac:dyDescent="0.45">
      <c r="A775" t="s">
        <v>1072</v>
      </c>
      <c r="B775" s="2" t="s">
        <v>148</v>
      </c>
      <c r="C775" t="s">
        <v>100</v>
      </c>
      <c r="D775" t="s">
        <v>398</v>
      </c>
      <c r="E775" t="s">
        <v>475</v>
      </c>
      <c r="F775" t="s">
        <v>140</v>
      </c>
      <c r="G775">
        <v>1</v>
      </c>
      <c r="H775" s="3">
        <v>1810</v>
      </c>
      <c r="I775" s="3">
        <v>1810</v>
      </c>
      <c r="J775" t="s">
        <v>76</v>
      </c>
      <c r="K775" t="s">
        <v>77</v>
      </c>
      <c r="L775" s="3">
        <f>SUM(SalesData3[Sales Amount (PKR)])</f>
        <v>11946830</v>
      </c>
    </row>
    <row r="776" spans="1:12" ht="14.25" customHeight="1" x14ac:dyDescent="0.45">
      <c r="A776" t="s">
        <v>1073</v>
      </c>
      <c r="B776" s="2" t="s">
        <v>264</v>
      </c>
      <c r="C776" t="s">
        <v>96</v>
      </c>
      <c r="D776" t="s">
        <v>398</v>
      </c>
      <c r="E776" t="s">
        <v>475</v>
      </c>
      <c r="F776" t="s">
        <v>97</v>
      </c>
      <c r="G776">
        <v>1</v>
      </c>
      <c r="H776" s="3">
        <v>1810</v>
      </c>
      <c r="I776" s="3">
        <v>1810</v>
      </c>
      <c r="J776" t="s">
        <v>76</v>
      </c>
      <c r="K776" t="s">
        <v>83</v>
      </c>
      <c r="L776" s="3">
        <f>SUM(SalesData3[Sales Amount (PKR)])</f>
        <v>11946830</v>
      </c>
    </row>
    <row r="777" spans="1:12" ht="14.25" customHeight="1" x14ac:dyDescent="0.45">
      <c r="A777" t="s">
        <v>1074</v>
      </c>
      <c r="B777" s="2" t="s">
        <v>414</v>
      </c>
      <c r="C777" t="s">
        <v>96</v>
      </c>
      <c r="D777" t="s">
        <v>398</v>
      </c>
      <c r="E777" t="s">
        <v>475</v>
      </c>
      <c r="F777" t="s">
        <v>123</v>
      </c>
      <c r="G777">
        <v>1</v>
      </c>
      <c r="H777" s="3">
        <v>1810</v>
      </c>
      <c r="I777" s="3">
        <v>1810</v>
      </c>
      <c r="J777" t="s">
        <v>82</v>
      </c>
      <c r="K777" t="s">
        <v>83</v>
      </c>
      <c r="L777" s="3">
        <f>SUM(SalesData3[Sales Amount (PKR)])</f>
        <v>11946830</v>
      </c>
    </row>
    <row r="778" spans="1:12" ht="14.25" customHeight="1" x14ac:dyDescent="0.45">
      <c r="A778" t="s">
        <v>1075</v>
      </c>
      <c r="B778" s="2" t="s">
        <v>115</v>
      </c>
      <c r="C778" t="s">
        <v>96</v>
      </c>
      <c r="D778" t="s">
        <v>398</v>
      </c>
      <c r="E778" t="s">
        <v>475</v>
      </c>
      <c r="F778" t="s">
        <v>117</v>
      </c>
      <c r="G778">
        <v>1</v>
      </c>
      <c r="H778" s="3">
        <v>1800</v>
      </c>
      <c r="I778" s="3">
        <v>1800</v>
      </c>
      <c r="J778" t="s">
        <v>76</v>
      </c>
      <c r="K778" t="s">
        <v>83</v>
      </c>
      <c r="L778" s="3">
        <f>SUM(SalesData3[Sales Amount (PKR)])</f>
        <v>11946830</v>
      </c>
    </row>
    <row r="779" spans="1:12" ht="14.25" customHeight="1" x14ac:dyDescent="0.45">
      <c r="A779" t="s">
        <v>1076</v>
      </c>
      <c r="B779" s="2" t="s">
        <v>593</v>
      </c>
      <c r="C779" t="s">
        <v>96</v>
      </c>
      <c r="D779" t="s">
        <v>398</v>
      </c>
      <c r="E779" t="s">
        <v>475</v>
      </c>
      <c r="F779" t="s">
        <v>97</v>
      </c>
      <c r="G779">
        <v>1</v>
      </c>
      <c r="H779" s="3">
        <v>1800</v>
      </c>
      <c r="I779" s="3">
        <v>1800</v>
      </c>
      <c r="J779" t="s">
        <v>76</v>
      </c>
      <c r="K779" t="s">
        <v>77</v>
      </c>
      <c r="L779" s="3">
        <f>SUM(SalesData3[Sales Amount (PKR)])</f>
        <v>11946830</v>
      </c>
    </row>
    <row r="780" spans="1:12" ht="14.25" customHeight="1" x14ac:dyDescent="0.45">
      <c r="A780" t="s">
        <v>1077</v>
      </c>
      <c r="B780" s="2" t="s">
        <v>919</v>
      </c>
      <c r="C780" t="s">
        <v>89</v>
      </c>
      <c r="D780" t="s">
        <v>398</v>
      </c>
      <c r="E780" t="s">
        <v>475</v>
      </c>
      <c r="F780" t="s">
        <v>123</v>
      </c>
      <c r="G780">
        <v>1</v>
      </c>
      <c r="H780" s="3">
        <v>1800</v>
      </c>
      <c r="I780" s="3">
        <v>1800</v>
      </c>
      <c r="J780" t="s">
        <v>76</v>
      </c>
      <c r="K780" t="s">
        <v>83</v>
      </c>
      <c r="L780" s="3">
        <f>SUM(SalesData3[Sales Amount (PKR)])</f>
        <v>11946830</v>
      </c>
    </row>
    <row r="781" spans="1:12" ht="14.25" customHeight="1" x14ac:dyDescent="0.45">
      <c r="A781" t="s">
        <v>1078</v>
      </c>
      <c r="B781" s="2" t="s">
        <v>276</v>
      </c>
      <c r="C781" t="s">
        <v>72</v>
      </c>
      <c r="D781" t="s">
        <v>398</v>
      </c>
      <c r="E781" t="s">
        <v>475</v>
      </c>
      <c r="F781" t="s">
        <v>131</v>
      </c>
      <c r="G781">
        <v>1</v>
      </c>
      <c r="H781" s="3">
        <v>1800</v>
      </c>
      <c r="I781" s="3">
        <v>1800</v>
      </c>
      <c r="J781" t="s">
        <v>82</v>
      </c>
      <c r="K781" t="s">
        <v>83</v>
      </c>
      <c r="L781" s="3">
        <f>SUM(SalesData3[Sales Amount (PKR)])</f>
        <v>11946830</v>
      </c>
    </row>
    <row r="782" spans="1:12" ht="14.25" customHeight="1" x14ac:dyDescent="0.45">
      <c r="A782" t="s">
        <v>1079</v>
      </c>
      <c r="B782" s="2" t="s">
        <v>588</v>
      </c>
      <c r="C782" t="s">
        <v>72</v>
      </c>
      <c r="D782" t="s">
        <v>398</v>
      </c>
      <c r="E782" t="s">
        <v>475</v>
      </c>
      <c r="F782" t="s">
        <v>90</v>
      </c>
      <c r="G782">
        <v>1</v>
      </c>
      <c r="H782" s="3">
        <v>1790</v>
      </c>
      <c r="I782" s="3">
        <v>1790</v>
      </c>
      <c r="J782" t="s">
        <v>76</v>
      </c>
      <c r="K782" t="s">
        <v>77</v>
      </c>
      <c r="L782" s="3">
        <f>SUM(SalesData3[Sales Amount (PKR)])</f>
        <v>11946830</v>
      </c>
    </row>
    <row r="783" spans="1:12" ht="14.25" customHeight="1" x14ac:dyDescent="0.45">
      <c r="A783" t="s">
        <v>1080</v>
      </c>
      <c r="B783" s="2" t="s">
        <v>359</v>
      </c>
      <c r="C783" t="s">
        <v>89</v>
      </c>
      <c r="D783" t="s">
        <v>398</v>
      </c>
      <c r="E783" t="s">
        <v>475</v>
      </c>
      <c r="F783" t="s">
        <v>140</v>
      </c>
      <c r="G783">
        <v>1</v>
      </c>
      <c r="H783" s="3">
        <v>1790</v>
      </c>
      <c r="I783" s="3">
        <v>1790</v>
      </c>
      <c r="J783" t="s">
        <v>76</v>
      </c>
      <c r="K783" t="s">
        <v>93</v>
      </c>
      <c r="L783" s="3">
        <f>SUM(SalesData3[Sales Amount (PKR)])</f>
        <v>11946830</v>
      </c>
    </row>
    <row r="784" spans="1:12" ht="14.25" customHeight="1" x14ac:dyDescent="0.45">
      <c r="A784" t="s">
        <v>1081</v>
      </c>
      <c r="B784" s="2" t="s">
        <v>210</v>
      </c>
      <c r="C784" t="s">
        <v>72</v>
      </c>
      <c r="D784" t="s">
        <v>398</v>
      </c>
      <c r="E784" t="s">
        <v>475</v>
      </c>
      <c r="F784" t="s">
        <v>75</v>
      </c>
      <c r="G784">
        <v>1</v>
      </c>
      <c r="H784" s="3">
        <v>1780</v>
      </c>
      <c r="I784" s="3">
        <v>1780</v>
      </c>
      <c r="J784" t="s">
        <v>82</v>
      </c>
      <c r="K784" t="s">
        <v>83</v>
      </c>
      <c r="L784" s="3">
        <f>SUM(SalesData3[Sales Amount (PKR)])</f>
        <v>11946830</v>
      </c>
    </row>
    <row r="785" spans="1:12" ht="14.25" customHeight="1" x14ac:dyDescent="0.45">
      <c r="A785" t="s">
        <v>1082</v>
      </c>
      <c r="B785" s="2" t="s">
        <v>950</v>
      </c>
      <c r="C785" t="s">
        <v>89</v>
      </c>
      <c r="D785" t="s">
        <v>398</v>
      </c>
      <c r="E785" t="s">
        <v>475</v>
      </c>
      <c r="F785" t="s">
        <v>123</v>
      </c>
      <c r="G785">
        <v>1</v>
      </c>
      <c r="H785" s="3">
        <v>1780</v>
      </c>
      <c r="I785" s="3">
        <v>1780</v>
      </c>
      <c r="J785" t="s">
        <v>82</v>
      </c>
      <c r="K785" t="s">
        <v>83</v>
      </c>
      <c r="L785" s="3">
        <f>SUM(SalesData3[Sales Amount (PKR)])</f>
        <v>11946830</v>
      </c>
    </row>
    <row r="786" spans="1:12" ht="14.25" customHeight="1" x14ac:dyDescent="0.45">
      <c r="A786" t="s">
        <v>1083</v>
      </c>
      <c r="B786" s="2" t="s">
        <v>264</v>
      </c>
      <c r="C786" t="s">
        <v>96</v>
      </c>
      <c r="D786" t="s">
        <v>398</v>
      </c>
      <c r="E786" t="s">
        <v>475</v>
      </c>
      <c r="F786" t="s">
        <v>123</v>
      </c>
      <c r="G786">
        <v>1</v>
      </c>
      <c r="H786" s="3">
        <v>1780</v>
      </c>
      <c r="I786" s="3">
        <v>1780</v>
      </c>
      <c r="J786" t="s">
        <v>82</v>
      </c>
      <c r="K786" t="s">
        <v>83</v>
      </c>
      <c r="L786" s="3">
        <f>SUM(SalesData3[Sales Amount (PKR)])</f>
        <v>11946830</v>
      </c>
    </row>
    <row r="787" spans="1:12" ht="14.25" customHeight="1" x14ac:dyDescent="0.45">
      <c r="A787" t="s">
        <v>1084</v>
      </c>
      <c r="B787" s="2" t="s">
        <v>337</v>
      </c>
      <c r="C787" t="s">
        <v>80</v>
      </c>
      <c r="D787" t="s">
        <v>398</v>
      </c>
      <c r="E787" t="s">
        <v>475</v>
      </c>
      <c r="F787" t="s">
        <v>131</v>
      </c>
      <c r="G787">
        <v>1</v>
      </c>
      <c r="H787" s="3">
        <v>1760</v>
      </c>
      <c r="I787" s="3">
        <v>1760</v>
      </c>
      <c r="J787" t="s">
        <v>82</v>
      </c>
      <c r="K787" t="s">
        <v>93</v>
      </c>
      <c r="L787" s="3">
        <f>SUM(SalesData3[Sales Amount (PKR)])</f>
        <v>11946830</v>
      </c>
    </row>
    <row r="788" spans="1:12" ht="14.25" customHeight="1" x14ac:dyDescent="0.45">
      <c r="A788" t="s">
        <v>1085</v>
      </c>
      <c r="B788" s="2" t="s">
        <v>1086</v>
      </c>
      <c r="C788" t="s">
        <v>96</v>
      </c>
      <c r="D788" t="s">
        <v>398</v>
      </c>
      <c r="E788" t="s">
        <v>475</v>
      </c>
      <c r="F788" t="s">
        <v>123</v>
      </c>
      <c r="G788">
        <v>1</v>
      </c>
      <c r="H788" s="3">
        <v>1760</v>
      </c>
      <c r="I788" s="3">
        <v>1760</v>
      </c>
      <c r="J788" t="s">
        <v>76</v>
      </c>
      <c r="K788" t="s">
        <v>77</v>
      </c>
      <c r="L788" s="3">
        <f>SUM(SalesData3[Sales Amount (PKR)])</f>
        <v>11946830</v>
      </c>
    </row>
    <row r="789" spans="1:12" ht="14.25" customHeight="1" x14ac:dyDescent="0.45">
      <c r="A789" t="s">
        <v>1087</v>
      </c>
      <c r="B789" s="2" t="s">
        <v>169</v>
      </c>
      <c r="C789" t="s">
        <v>96</v>
      </c>
      <c r="D789" t="s">
        <v>398</v>
      </c>
      <c r="E789" t="s">
        <v>475</v>
      </c>
      <c r="F789" t="s">
        <v>90</v>
      </c>
      <c r="G789">
        <v>1</v>
      </c>
      <c r="H789" s="3">
        <v>1760</v>
      </c>
      <c r="I789" s="3">
        <v>1760</v>
      </c>
      <c r="J789" t="s">
        <v>76</v>
      </c>
      <c r="K789" t="s">
        <v>77</v>
      </c>
      <c r="L789" s="3">
        <f>SUM(SalesData3[Sales Amount (PKR)])</f>
        <v>11946830</v>
      </c>
    </row>
    <row r="790" spans="1:12" ht="14.25" customHeight="1" x14ac:dyDescent="0.45">
      <c r="A790" t="s">
        <v>1088</v>
      </c>
      <c r="B790" s="2" t="s">
        <v>119</v>
      </c>
      <c r="C790" t="s">
        <v>96</v>
      </c>
      <c r="D790" t="s">
        <v>398</v>
      </c>
      <c r="E790" t="s">
        <v>475</v>
      </c>
      <c r="F790" t="s">
        <v>140</v>
      </c>
      <c r="G790">
        <v>1</v>
      </c>
      <c r="H790" s="3">
        <v>1750</v>
      </c>
      <c r="I790" s="3">
        <v>1750</v>
      </c>
      <c r="J790" t="s">
        <v>76</v>
      </c>
      <c r="K790" t="s">
        <v>77</v>
      </c>
      <c r="L790" s="3">
        <f>SUM(SalesData3[Sales Amount (PKR)])</f>
        <v>11946830</v>
      </c>
    </row>
    <row r="791" spans="1:12" ht="14.25" customHeight="1" x14ac:dyDescent="0.45">
      <c r="A791" t="s">
        <v>1089</v>
      </c>
      <c r="B791" s="2" t="s">
        <v>111</v>
      </c>
      <c r="C791" t="s">
        <v>72</v>
      </c>
      <c r="D791" t="s">
        <v>398</v>
      </c>
      <c r="E791" t="s">
        <v>475</v>
      </c>
      <c r="F791" t="s">
        <v>90</v>
      </c>
      <c r="G791">
        <v>1</v>
      </c>
      <c r="H791" s="3">
        <v>1750</v>
      </c>
      <c r="I791" s="3">
        <v>1750</v>
      </c>
      <c r="J791" t="s">
        <v>76</v>
      </c>
      <c r="K791" t="s">
        <v>83</v>
      </c>
      <c r="L791" s="3">
        <f>SUM(SalesData3[Sales Amount (PKR)])</f>
        <v>11946830</v>
      </c>
    </row>
    <row r="792" spans="1:12" ht="14.25" customHeight="1" x14ac:dyDescent="0.45">
      <c r="A792" t="s">
        <v>1090</v>
      </c>
      <c r="B792" s="2" t="s">
        <v>455</v>
      </c>
      <c r="C792" t="s">
        <v>96</v>
      </c>
      <c r="D792" t="s">
        <v>398</v>
      </c>
      <c r="E792" t="s">
        <v>475</v>
      </c>
      <c r="F792" t="s">
        <v>97</v>
      </c>
      <c r="G792">
        <v>1</v>
      </c>
      <c r="H792" s="3">
        <v>1750</v>
      </c>
      <c r="I792" s="3">
        <v>1750</v>
      </c>
      <c r="J792" t="s">
        <v>82</v>
      </c>
      <c r="K792" t="s">
        <v>83</v>
      </c>
      <c r="L792" s="3">
        <f>SUM(SalesData3[Sales Amount (PKR)])</f>
        <v>11946830</v>
      </c>
    </row>
    <row r="793" spans="1:12" ht="14.25" customHeight="1" x14ac:dyDescent="0.45">
      <c r="A793" t="s">
        <v>1091</v>
      </c>
      <c r="B793" s="2" t="s">
        <v>329</v>
      </c>
      <c r="C793" t="s">
        <v>96</v>
      </c>
      <c r="D793" t="s">
        <v>398</v>
      </c>
      <c r="E793" t="s">
        <v>475</v>
      </c>
      <c r="F793" t="s">
        <v>86</v>
      </c>
      <c r="G793">
        <v>1</v>
      </c>
      <c r="H793" s="3">
        <v>1750</v>
      </c>
      <c r="I793" s="3">
        <v>1750</v>
      </c>
      <c r="J793" t="s">
        <v>76</v>
      </c>
      <c r="K793" t="s">
        <v>93</v>
      </c>
      <c r="L793" s="3">
        <f>SUM(SalesData3[Sales Amount (PKR)])</f>
        <v>11946830</v>
      </c>
    </row>
    <row r="794" spans="1:12" ht="14.25" customHeight="1" x14ac:dyDescent="0.45">
      <c r="A794" t="s">
        <v>1092</v>
      </c>
      <c r="B794" s="2" t="s">
        <v>221</v>
      </c>
      <c r="C794" t="s">
        <v>100</v>
      </c>
      <c r="D794" t="s">
        <v>398</v>
      </c>
      <c r="E794" t="s">
        <v>475</v>
      </c>
      <c r="F794" t="s">
        <v>131</v>
      </c>
      <c r="G794">
        <v>1</v>
      </c>
      <c r="H794" s="3">
        <v>1750</v>
      </c>
      <c r="I794" s="3">
        <v>1750</v>
      </c>
      <c r="J794" t="s">
        <v>82</v>
      </c>
      <c r="K794" t="s">
        <v>83</v>
      </c>
      <c r="L794" s="3">
        <f>SUM(SalesData3[Sales Amount (PKR)])</f>
        <v>11946830</v>
      </c>
    </row>
    <row r="795" spans="1:12" ht="14.25" customHeight="1" x14ac:dyDescent="0.45">
      <c r="A795" t="s">
        <v>1093</v>
      </c>
      <c r="B795" s="2" t="s">
        <v>92</v>
      </c>
      <c r="C795" t="s">
        <v>72</v>
      </c>
      <c r="D795" t="s">
        <v>398</v>
      </c>
      <c r="E795" t="s">
        <v>475</v>
      </c>
      <c r="F795" t="s">
        <v>140</v>
      </c>
      <c r="G795">
        <v>1</v>
      </c>
      <c r="H795" s="3">
        <v>1740</v>
      </c>
      <c r="I795" s="3">
        <v>1740</v>
      </c>
      <c r="J795" t="s">
        <v>82</v>
      </c>
      <c r="K795" t="s">
        <v>77</v>
      </c>
      <c r="L795" s="3">
        <f>SUM(SalesData3[Sales Amount (PKR)])</f>
        <v>11946830</v>
      </c>
    </row>
    <row r="796" spans="1:12" ht="14.25" customHeight="1" x14ac:dyDescent="0.45">
      <c r="A796" t="s">
        <v>1094</v>
      </c>
      <c r="B796" s="2" t="s">
        <v>298</v>
      </c>
      <c r="C796" t="s">
        <v>80</v>
      </c>
      <c r="D796" t="s">
        <v>398</v>
      </c>
      <c r="E796" t="s">
        <v>475</v>
      </c>
      <c r="F796" t="s">
        <v>117</v>
      </c>
      <c r="G796">
        <v>1</v>
      </c>
      <c r="H796" s="3">
        <v>1740</v>
      </c>
      <c r="I796" s="3">
        <v>1740</v>
      </c>
      <c r="J796" t="s">
        <v>82</v>
      </c>
      <c r="K796" t="s">
        <v>93</v>
      </c>
      <c r="L796" s="3">
        <f>SUM(SalesData3[Sales Amount (PKR)])</f>
        <v>11946830</v>
      </c>
    </row>
    <row r="797" spans="1:12" ht="14.25" customHeight="1" x14ac:dyDescent="0.45">
      <c r="A797" t="s">
        <v>1095</v>
      </c>
      <c r="B797" s="2" t="s">
        <v>173</v>
      </c>
      <c r="C797" t="s">
        <v>89</v>
      </c>
      <c r="D797" t="s">
        <v>398</v>
      </c>
      <c r="E797" t="s">
        <v>475</v>
      </c>
      <c r="F797" t="s">
        <v>90</v>
      </c>
      <c r="G797">
        <v>1</v>
      </c>
      <c r="H797" s="3">
        <v>1730</v>
      </c>
      <c r="I797" s="3">
        <v>1730</v>
      </c>
      <c r="J797" t="s">
        <v>82</v>
      </c>
      <c r="K797" t="s">
        <v>83</v>
      </c>
      <c r="L797" s="3">
        <f>SUM(SalesData3[Sales Amount (PKR)])</f>
        <v>11946830</v>
      </c>
    </row>
    <row r="798" spans="1:12" ht="14.25" customHeight="1" x14ac:dyDescent="0.45">
      <c r="A798" t="s">
        <v>1096</v>
      </c>
      <c r="B798" s="2" t="s">
        <v>166</v>
      </c>
      <c r="C798" t="s">
        <v>96</v>
      </c>
      <c r="D798" t="s">
        <v>398</v>
      </c>
      <c r="E798" t="s">
        <v>475</v>
      </c>
      <c r="F798" t="s">
        <v>140</v>
      </c>
      <c r="G798">
        <v>1</v>
      </c>
      <c r="H798" s="3">
        <v>1730</v>
      </c>
      <c r="I798" s="3">
        <v>1730</v>
      </c>
      <c r="J798" t="s">
        <v>76</v>
      </c>
      <c r="K798" t="s">
        <v>77</v>
      </c>
      <c r="L798" s="3">
        <f>SUM(SalesData3[Sales Amount (PKR)])</f>
        <v>11946830</v>
      </c>
    </row>
    <row r="799" spans="1:12" ht="14.25" customHeight="1" x14ac:dyDescent="0.45">
      <c r="A799" t="s">
        <v>1097</v>
      </c>
      <c r="B799" s="2" t="s">
        <v>92</v>
      </c>
      <c r="C799" t="s">
        <v>100</v>
      </c>
      <c r="D799" t="s">
        <v>398</v>
      </c>
      <c r="E799" t="s">
        <v>475</v>
      </c>
      <c r="F799" t="s">
        <v>90</v>
      </c>
      <c r="G799">
        <v>1</v>
      </c>
      <c r="H799" s="3">
        <v>1730</v>
      </c>
      <c r="I799" s="3">
        <v>1730</v>
      </c>
      <c r="J799" t="s">
        <v>82</v>
      </c>
      <c r="K799" t="s">
        <v>77</v>
      </c>
      <c r="L799" s="3">
        <f>SUM(SalesData3[Sales Amount (PKR)])</f>
        <v>11946830</v>
      </c>
    </row>
    <row r="800" spans="1:12" ht="14.25" customHeight="1" x14ac:dyDescent="0.45">
      <c r="A800" t="s">
        <v>1098</v>
      </c>
      <c r="B800" s="2" t="s">
        <v>391</v>
      </c>
      <c r="C800" t="s">
        <v>100</v>
      </c>
      <c r="D800" t="s">
        <v>472</v>
      </c>
      <c r="E800" t="s">
        <v>500</v>
      </c>
      <c r="F800" t="s">
        <v>131</v>
      </c>
      <c r="G800">
        <v>1</v>
      </c>
      <c r="H800" s="3">
        <v>1660</v>
      </c>
      <c r="I800" s="3">
        <v>1660</v>
      </c>
      <c r="J800" t="s">
        <v>76</v>
      </c>
      <c r="K800" t="s">
        <v>83</v>
      </c>
      <c r="L800" s="3">
        <f>SUM(SalesData3[Sales Amount (PKR)])</f>
        <v>11946830</v>
      </c>
    </row>
    <row r="801" spans="1:12" ht="14.25" customHeight="1" x14ac:dyDescent="0.45">
      <c r="A801" t="s">
        <v>1099</v>
      </c>
      <c r="B801" s="2" t="s">
        <v>791</v>
      </c>
      <c r="C801" t="s">
        <v>72</v>
      </c>
      <c r="D801" t="s">
        <v>472</v>
      </c>
      <c r="E801" t="s">
        <v>500</v>
      </c>
      <c r="F801" t="s">
        <v>140</v>
      </c>
      <c r="G801">
        <v>1</v>
      </c>
      <c r="H801" s="3">
        <v>1660</v>
      </c>
      <c r="I801" s="3">
        <v>1660</v>
      </c>
      <c r="J801" t="s">
        <v>82</v>
      </c>
      <c r="K801" t="s">
        <v>93</v>
      </c>
      <c r="L801" s="3">
        <f>SUM(SalesData3[Sales Amount (PKR)])</f>
        <v>11946830</v>
      </c>
    </row>
    <row r="802" spans="1:12" ht="14.25" customHeight="1" x14ac:dyDescent="0.45">
      <c r="A802" t="s">
        <v>1100</v>
      </c>
      <c r="B802" s="2" t="s">
        <v>218</v>
      </c>
      <c r="C802" t="s">
        <v>96</v>
      </c>
      <c r="D802" t="s">
        <v>472</v>
      </c>
      <c r="E802" t="s">
        <v>500</v>
      </c>
      <c r="F802" t="s">
        <v>97</v>
      </c>
      <c r="G802">
        <v>1</v>
      </c>
      <c r="H802" s="3">
        <v>1650</v>
      </c>
      <c r="I802" s="3">
        <v>1650</v>
      </c>
      <c r="J802" t="s">
        <v>76</v>
      </c>
      <c r="K802" t="s">
        <v>83</v>
      </c>
      <c r="L802" s="3">
        <f>SUM(SalesData3[Sales Amount (PKR)])</f>
        <v>11946830</v>
      </c>
    </row>
    <row r="803" spans="1:12" ht="14.25" customHeight="1" x14ac:dyDescent="0.45">
      <c r="A803" t="s">
        <v>1101</v>
      </c>
      <c r="B803" s="2" t="s">
        <v>181</v>
      </c>
      <c r="C803" t="s">
        <v>72</v>
      </c>
      <c r="D803" t="s">
        <v>472</v>
      </c>
      <c r="E803" t="s">
        <v>500</v>
      </c>
      <c r="F803" t="s">
        <v>107</v>
      </c>
      <c r="G803">
        <v>1</v>
      </c>
      <c r="H803" s="3">
        <v>1640</v>
      </c>
      <c r="I803" s="3">
        <v>1640</v>
      </c>
      <c r="J803" t="s">
        <v>82</v>
      </c>
      <c r="K803" t="s">
        <v>77</v>
      </c>
      <c r="L803" s="3">
        <f>SUM(SalesData3[Sales Amount (PKR)])</f>
        <v>11946830</v>
      </c>
    </row>
    <row r="804" spans="1:12" ht="14.25" customHeight="1" x14ac:dyDescent="0.45">
      <c r="A804" t="s">
        <v>1102</v>
      </c>
      <c r="B804" s="2" t="s">
        <v>526</v>
      </c>
      <c r="C804" t="s">
        <v>80</v>
      </c>
      <c r="D804" t="s">
        <v>472</v>
      </c>
      <c r="E804" t="s">
        <v>500</v>
      </c>
      <c r="F804" t="s">
        <v>131</v>
      </c>
      <c r="G804">
        <v>1</v>
      </c>
      <c r="H804" s="3">
        <v>1640</v>
      </c>
      <c r="I804" s="3">
        <v>1640</v>
      </c>
      <c r="J804" t="s">
        <v>82</v>
      </c>
      <c r="K804" t="s">
        <v>93</v>
      </c>
      <c r="L804" s="3">
        <f>SUM(SalesData3[Sales Amount (PKR)])</f>
        <v>11946830</v>
      </c>
    </row>
    <row r="805" spans="1:12" ht="14.25" customHeight="1" x14ac:dyDescent="0.45">
      <c r="A805" t="s">
        <v>1103</v>
      </c>
      <c r="B805" s="2" t="s">
        <v>422</v>
      </c>
      <c r="C805" t="s">
        <v>100</v>
      </c>
      <c r="D805" t="s">
        <v>472</v>
      </c>
      <c r="E805" t="s">
        <v>500</v>
      </c>
      <c r="F805" t="s">
        <v>97</v>
      </c>
      <c r="G805">
        <v>1</v>
      </c>
      <c r="H805" s="3">
        <v>1640</v>
      </c>
      <c r="I805" s="3">
        <v>1640</v>
      </c>
      <c r="J805" t="s">
        <v>76</v>
      </c>
      <c r="K805" t="s">
        <v>93</v>
      </c>
      <c r="L805" s="3">
        <f>SUM(SalesData3[Sales Amount (PKR)])</f>
        <v>11946830</v>
      </c>
    </row>
    <row r="806" spans="1:12" ht="14.25" customHeight="1" x14ac:dyDescent="0.45">
      <c r="A806" t="s">
        <v>1104</v>
      </c>
      <c r="B806" s="2" t="s">
        <v>318</v>
      </c>
      <c r="C806" t="s">
        <v>89</v>
      </c>
      <c r="D806" t="s">
        <v>472</v>
      </c>
      <c r="E806" t="s">
        <v>500</v>
      </c>
      <c r="F806" t="s">
        <v>140</v>
      </c>
      <c r="G806">
        <v>1</v>
      </c>
      <c r="H806" s="3">
        <v>1640</v>
      </c>
      <c r="I806" s="3">
        <v>1640</v>
      </c>
      <c r="J806" t="s">
        <v>76</v>
      </c>
      <c r="K806" t="s">
        <v>83</v>
      </c>
      <c r="L806" s="3">
        <f>SUM(SalesData3[Sales Amount (PKR)])</f>
        <v>11946830</v>
      </c>
    </row>
    <row r="807" spans="1:12" ht="14.25" customHeight="1" x14ac:dyDescent="0.45">
      <c r="A807" t="s">
        <v>1105</v>
      </c>
      <c r="B807" s="2" t="s">
        <v>404</v>
      </c>
      <c r="C807" t="s">
        <v>96</v>
      </c>
      <c r="D807" t="s">
        <v>472</v>
      </c>
      <c r="E807" t="s">
        <v>500</v>
      </c>
      <c r="F807" t="s">
        <v>86</v>
      </c>
      <c r="G807">
        <v>1</v>
      </c>
      <c r="H807" s="3">
        <v>1630</v>
      </c>
      <c r="I807" s="3">
        <v>1630</v>
      </c>
      <c r="J807" t="s">
        <v>76</v>
      </c>
      <c r="K807" t="s">
        <v>83</v>
      </c>
      <c r="L807" s="3">
        <f>SUM(SalesData3[Sales Amount (PKR)])</f>
        <v>11946830</v>
      </c>
    </row>
    <row r="808" spans="1:12" ht="14.25" customHeight="1" x14ac:dyDescent="0.45">
      <c r="A808" t="s">
        <v>1106</v>
      </c>
      <c r="B808" s="2" t="s">
        <v>578</v>
      </c>
      <c r="C808" t="s">
        <v>89</v>
      </c>
      <c r="D808" t="s">
        <v>472</v>
      </c>
      <c r="E808" t="s">
        <v>500</v>
      </c>
      <c r="F808" t="s">
        <v>107</v>
      </c>
      <c r="G808">
        <v>1</v>
      </c>
      <c r="H808" s="3">
        <v>1630</v>
      </c>
      <c r="I808" s="3">
        <v>1630</v>
      </c>
      <c r="J808" t="s">
        <v>76</v>
      </c>
      <c r="K808" t="s">
        <v>83</v>
      </c>
      <c r="L808" s="3">
        <f>SUM(SalesData3[Sales Amount (PKR)])</f>
        <v>11946830</v>
      </c>
    </row>
    <row r="809" spans="1:12" ht="14.25" customHeight="1" x14ac:dyDescent="0.45">
      <c r="A809" t="s">
        <v>1107</v>
      </c>
      <c r="B809" s="2" t="s">
        <v>552</v>
      </c>
      <c r="C809" t="s">
        <v>89</v>
      </c>
      <c r="D809" t="s">
        <v>472</v>
      </c>
      <c r="E809" t="s">
        <v>500</v>
      </c>
      <c r="F809" t="s">
        <v>123</v>
      </c>
      <c r="G809">
        <v>1</v>
      </c>
      <c r="H809" s="3">
        <v>1630</v>
      </c>
      <c r="I809" s="3">
        <v>1630</v>
      </c>
      <c r="J809" t="s">
        <v>76</v>
      </c>
      <c r="K809" t="s">
        <v>77</v>
      </c>
      <c r="L809" s="3">
        <f>SUM(SalesData3[Sales Amount (PKR)])</f>
        <v>11946830</v>
      </c>
    </row>
    <row r="810" spans="1:12" ht="14.25" customHeight="1" x14ac:dyDescent="0.45">
      <c r="A810" t="s">
        <v>1108</v>
      </c>
      <c r="B810" s="2" t="s">
        <v>150</v>
      </c>
      <c r="C810" t="s">
        <v>89</v>
      </c>
      <c r="D810" t="s">
        <v>472</v>
      </c>
      <c r="E810" t="s">
        <v>500</v>
      </c>
      <c r="F810" t="s">
        <v>86</v>
      </c>
      <c r="G810">
        <v>1</v>
      </c>
      <c r="H810" s="3">
        <v>1630</v>
      </c>
      <c r="I810" s="3">
        <v>1630</v>
      </c>
      <c r="J810" t="s">
        <v>76</v>
      </c>
      <c r="K810" t="s">
        <v>77</v>
      </c>
      <c r="L810" s="3">
        <f>SUM(SalesData3[Sales Amount (PKR)])</f>
        <v>11946830</v>
      </c>
    </row>
    <row r="811" spans="1:12" ht="14.25" customHeight="1" x14ac:dyDescent="0.45">
      <c r="A811" t="s">
        <v>1109</v>
      </c>
      <c r="B811" s="2" t="s">
        <v>595</v>
      </c>
      <c r="C811" t="s">
        <v>96</v>
      </c>
      <c r="D811" t="s">
        <v>472</v>
      </c>
      <c r="E811" t="s">
        <v>500</v>
      </c>
      <c r="F811" t="s">
        <v>140</v>
      </c>
      <c r="G811">
        <v>1</v>
      </c>
      <c r="H811" s="3">
        <v>1630</v>
      </c>
      <c r="I811" s="3">
        <v>1630</v>
      </c>
      <c r="J811" t="s">
        <v>76</v>
      </c>
      <c r="K811" t="s">
        <v>77</v>
      </c>
      <c r="L811" s="3">
        <f>SUM(SalesData3[Sales Amount (PKR)])</f>
        <v>11946830</v>
      </c>
    </row>
    <row r="812" spans="1:12" ht="14.25" customHeight="1" x14ac:dyDescent="0.45">
      <c r="A812" t="s">
        <v>1110</v>
      </c>
      <c r="B812" s="2" t="s">
        <v>206</v>
      </c>
      <c r="C812" t="s">
        <v>96</v>
      </c>
      <c r="D812" t="s">
        <v>472</v>
      </c>
      <c r="E812" t="s">
        <v>500</v>
      </c>
      <c r="F812" t="s">
        <v>140</v>
      </c>
      <c r="G812">
        <v>1</v>
      </c>
      <c r="H812" s="3">
        <v>1620</v>
      </c>
      <c r="I812" s="3">
        <v>1620</v>
      </c>
      <c r="J812" t="s">
        <v>76</v>
      </c>
      <c r="K812" t="s">
        <v>77</v>
      </c>
      <c r="L812" s="3">
        <f>SUM(SalesData3[Sales Amount (PKR)])</f>
        <v>11946830</v>
      </c>
    </row>
    <row r="813" spans="1:12" ht="14.25" customHeight="1" x14ac:dyDescent="0.45">
      <c r="A813" t="s">
        <v>1111</v>
      </c>
      <c r="B813" s="2" t="s">
        <v>200</v>
      </c>
      <c r="C813" t="s">
        <v>100</v>
      </c>
      <c r="D813" t="s">
        <v>472</v>
      </c>
      <c r="E813" t="s">
        <v>500</v>
      </c>
      <c r="F813" t="s">
        <v>107</v>
      </c>
      <c r="G813">
        <v>1</v>
      </c>
      <c r="H813" s="3">
        <v>1620</v>
      </c>
      <c r="I813" s="3">
        <v>1620</v>
      </c>
      <c r="J813" t="s">
        <v>76</v>
      </c>
      <c r="K813" t="s">
        <v>83</v>
      </c>
      <c r="L813" s="3">
        <f>SUM(SalesData3[Sales Amount (PKR)])</f>
        <v>11946830</v>
      </c>
    </row>
    <row r="814" spans="1:12" ht="14.25" customHeight="1" x14ac:dyDescent="0.45">
      <c r="A814" t="s">
        <v>1112</v>
      </c>
      <c r="B814" s="2" t="s">
        <v>791</v>
      </c>
      <c r="C814" t="s">
        <v>80</v>
      </c>
      <c r="D814" t="s">
        <v>472</v>
      </c>
      <c r="E814" t="s">
        <v>500</v>
      </c>
      <c r="F814" t="s">
        <v>123</v>
      </c>
      <c r="G814">
        <v>1</v>
      </c>
      <c r="H814" s="3">
        <v>1610</v>
      </c>
      <c r="I814" s="3">
        <v>1610</v>
      </c>
      <c r="J814" t="s">
        <v>82</v>
      </c>
      <c r="K814" t="s">
        <v>77</v>
      </c>
      <c r="L814" s="3">
        <f>SUM(SalesData3[Sales Amount (PKR)])</f>
        <v>11946830</v>
      </c>
    </row>
    <row r="815" spans="1:12" ht="14.25" customHeight="1" x14ac:dyDescent="0.45">
      <c r="A815" t="s">
        <v>1113</v>
      </c>
      <c r="B815" s="2" t="s">
        <v>791</v>
      </c>
      <c r="C815" t="s">
        <v>100</v>
      </c>
      <c r="D815" t="s">
        <v>472</v>
      </c>
      <c r="E815" t="s">
        <v>500</v>
      </c>
      <c r="F815" t="s">
        <v>140</v>
      </c>
      <c r="G815">
        <v>1</v>
      </c>
      <c r="H815" s="3">
        <v>1610</v>
      </c>
      <c r="I815" s="3">
        <v>1610</v>
      </c>
      <c r="J815" t="s">
        <v>76</v>
      </c>
      <c r="K815" t="s">
        <v>83</v>
      </c>
      <c r="L815" s="3">
        <f>SUM(SalesData3[Sales Amount (PKR)])</f>
        <v>11946830</v>
      </c>
    </row>
    <row r="816" spans="1:12" ht="14.25" customHeight="1" x14ac:dyDescent="0.45">
      <c r="A816" t="s">
        <v>1114</v>
      </c>
      <c r="B816" s="2" t="s">
        <v>318</v>
      </c>
      <c r="C816" t="s">
        <v>100</v>
      </c>
      <c r="D816" t="s">
        <v>472</v>
      </c>
      <c r="E816" t="s">
        <v>500</v>
      </c>
      <c r="F816" t="s">
        <v>107</v>
      </c>
      <c r="G816">
        <v>1</v>
      </c>
      <c r="H816" s="3">
        <v>1610</v>
      </c>
      <c r="I816" s="3">
        <v>1610</v>
      </c>
      <c r="J816" t="s">
        <v>76</v>
      </c>
      <c r="K816" t="s">
        <v>93</v>
      </c>
      <c r="L816" s="3">
        <f>SUM(SalesData3[Sales Amount (PKR)])</f>
        <v>11946830</v>
      </c>
    </row>
    <row r="817" spans="1:12" ht="14.25" customHeight="1" x14ac:dyDescent="0.45">
      <c r="A817" t="s">
        <v>1115</v>
      </c>
      <c r="B817" s="2" t="s">
        <v>85</v>
      </c>
      <c r="C817" t="s">
        <v>100</v>
      </c>
      <c r="D817" t="s">
        <v>472</v>
      </c>
      <c r="E817" t="s">
        <v>500</v>
      </c>
      <c r="F817" t="s">
        <v>90</v>
      </c>
      <c r="G817">
        <v>1</v>
      </c>
      <c r="H817" s="3">
        <v>1610</v>
      </c>
      <c r="I817" s="3">
        <v>1610</v>
      </c>
      <c r="J817" t="s">
        <v>76</v>
      </c>
      <c r="K817" t="s">
        <v>93</v>
      </c>
      <c r="L817" s="3">
        <f>SUM(SalesData3[Sales Amount (PKR)])</f>
        <v>11946830</v>
      </c>
    </row>
    <row r="818" spans="1:12" ht="14.25" customHeight="1" x14ac:dyDescent="0.45">
      <c r="A818" t="s">
        <v>1116</v>
      </c>
      <c r="B818" s="2" t="s">
        <v>556</v>
      </c>
      <c r="C818" t="s">
        <v>96</v>
      </c>
      <c r="D818" t="s">
        <v>472</v>
      </c>
      <c r="E818" t="s">
        <v>500</v>
      </c>
      <c r="F818" t="s">
        <v>86</v>
      </c>
      <c r="G818">
        <v>1</v>
      </c>
      <c r="H818" s="3">
        <v>1600</v>
      </c>
      <c r="I818" s="3">
        <v>1600</v>
      </c>
      <c r="J818" t="s">
        <v>76</v>
      </c>
      <c r="K818" t="s">
        <v>83</v>
      </c>
      <c r="L818" s="3">
        <f>SUM(SalesData3[Sales Amount (PKR)])</f>
        <v>11946830</v>
      </c>
    </row>
    <row r="819" spans="1:12" ht="14.25" customHeight="1" x14ac:dyDescent="0.45">
      <c r="A819" t="s">
        <v>1117</v>
      </c>
      <c r="B819" s="2" t="s">
        <v>99</v>
      </c>
      <c r="C819" t="s">
        <v>80</v>
      </c>
      <c r="D819" t="s">
        <v>472</v>
      </c>
      <c r="E819" t="s">
        <v>500</v>
      </c>
      <c r="F819" t="s">
        <v>75</v>
      </c>
      <c r="G819">
        <v>1</v>
      </c>
      <c r="H819" s="3">
        <v>1600</v>
      </c>
      <c r="I819" s="3">
        <v>1600</v>
      </c>
      <c r="J819" t="s">
        <v>76</v>
      </c>
      <c r="K819" t="s">
        <v>83</v>
      </c>
      <c r="L819" s="3">
        <f>SUM(SalesData3[Sales Amount (PKR)])</f>
        <v>11946830</v>
      </c>
    </row>
    <row r="820" spans="1:12" ht="14.25" customHeight="1" x14ac:dyDescent="0.45">
      <c r="A820" t="s">
        <v>1118</v>
      </c>
      <c r="B820" s="2" t="s">
        <v>231</v>
      </c>
      <c r="C820" t="s">
        <v>72</v>
      </c>
      <c r="D820" t="s">
        <v>472</v>
      </c>
      <c r="E820" t="s">
        <v>500</v>
      </c>
      <c r="F820" t="s">
        <v>140</v>
      </c>
      <c r="G820">
        <v>1</v>
      </c>
      <c r="H820" s="3">
        <v>1590</v>
      </c>
      <c r="I820" s="3">
        <v>1590</v>
      </c>
      <c r="J820" t="s">
        <v>76</v>
      </c>
      <c r="K820" t="s">
        <v>83</v>
      </c>
      <c r="L820" s="3">
        <f>SUM(SalesData3[Sales Amount (PKR)])</f>
        <v>11946830</v>
      </c>
    </row>
    <row r="821" spans="1:12" ht="14.25" customHeight="1" x14ac:dyDescent="0.45">
      <c r="A821" t="s">
        <v>1119</v>
      </c>
      <c r="B821" s="2" t="s">
        <v>569</v>
      </c>
      <c r="C821" t="s">
        <v>89</v>
      </c>
      <c r="D821" t="s">
        <v>472</v>
      </c>
      <c r="E821" t="s">
        <v>500</v>
      </c>
      <c r="F821" t="s">
        <v>117</v>
      </c>
      <c r="G821">
        <v>1</v>
      </c>
      <c r="H821" s="3">
        <v>1590</v>
      </c>
      <c r="I821" s="3">
        <v>1590</v>
      </c>
      <c r="J821" t="s">
        <v>76</v>
      </c>
      <c r="K821" t="s">
        <v>93</v>
      </c>
      <c r="L821" s="3">
        <f>SUM(SalesData3[Sales Amount (PKR)])</f>
        <v>11946830</v>
      </c>
    </row>
    <row r="822" spans="1:12" ht="14.25" customHeight="1" x14ac:dyDescent="0.45">
      <c r="A822" t="s">
        <v>1120</v>
      </c>
      <c r="B822" s="2" t="s">
        <v>919</v>
      </c>
      <c r="C822" t="s">
        <v>96</v>
      </c>
      <c r="D822" t="s">
        <v>472</v>
      </c>
      <c r="E822" t="s">
        <v>500</v>
      </c>
      <c r="F822" t="s">
        <v>90</v>
      </c>
      <c r="G822">
        <v>1</v>
      </c>
      <c r="H822" s="3">
        <v>1590</v>
      </c>
      <c r="I822" s="3">
        <v>1590</v>
      </c>
      <c r="J822" t="s">
        <v>76</v>
      </c>
      <c r="K822" t="s">
        <v>77</v>
      </c>
      <c r="L822" s="3">
        <f>SUM(SalesData3[Sales Amount (PKR)])</f>
        <v>11946830</v>
      </c>
    </row>
    <row r="823" spans="1:12" ht="14.25" customHeight="1" x14ac:dyDescent="0.45">
      <c r="A823" t="s">
        <v>1121</v>
      </c>
      <c r="B823" s="2" t="s">
        <v>251</v>
      </c>
      <c r="C823" t="s">
        <v>89</v>
      </c>
      <c r="D823" t="s">
        <v>472</v>
      </c>
      <c r="E823" t="s">
        <v>500</v>
      </c>
      <c r="F823" t="s">
        <v>117</v>
      </c>
      <c r="G823">
        <v>1</v>
      </c>
      <c r="H823" s="3">
        <v>1590</v>
      </c>
      <c r="I823" s="3">
        <v>1590</v>
      </c>
      <c r="J823" t="s">
        <v>76</v>
      </c>
      <c r="K823" t="s">
        <v>93</v>
      </c>
      <c r="L823" s="3">
        <f>SUM(SalesData3[Sales Amount (PKR)])</f>
        <v>11946830</v>
      </c>
    </row>
    <row r="824" spans="1:12" ht="14.25" customHeight="1" x14ac:dyDescent="0.45">
      <c r="A824" t="s">
        <v>1122</v>
      </c>
      <c r="B824" s="2" t="s">
        <v>571</v>
      </c>
      <c r="C824" t="s">
        <v>96</v>
      </c>
      <c r="D824" t="s">
        <v>472</v>
      </c>
      <c r="E824" t="s">
        <v>500</v>
      </c>
      <c r="F824" t="s">
        <v>86</v>
      </c>
      <c r="G824">
        <v>1</v>
      </c>
      <c r="H824" s="3">
        <v>1580</v>
      </c>
      <c r="I824" s="3">
        <v>1580</v>
      </c>
      <c r="J824" t="s">
        <v>76</v>
      </c>
      <c r="K824" t="s">
        <v>83</v>
      </c>
      <c r="L824" s="3">
        <f>SUM(SalesData3[Sales Amount (PKR)])</f>
        <v>11946830</v>
      </c>
    </row>
    <row r="825" spans="1:12" ht="14.25" customHeight="1" x14ac:dyDescent="0.45">
      <c r="A825" t="s">
        <v>1123</v>
      </c>
      <c r="B825" s="2" t="s">
        <v>289</v>
      </c>
      <c r="C825" t="s">
        <v>96</v>
      </c>
      <c r="D825" t="s">
        <v>472</v>
      </c>
      <c r="E825" t="s">
        <v>500</v>
      </c>
      <c r="F825" t="s">
        <v>86</v>
      </c>
      <c r="G825">
        <v>1</v>
      </c>
      <c r="H825" s="3">
        <v>1580</v>
      </c>
      <c r="I825" s="3">
        <v>1580</v>
      </c>
      <c r="J825" t="s">
        <v>76</v>
      </c>
      <c r="K825" t="s">
        <v>77</v>
      </c>
      <c r="L825" s="3">
        <f>SUM(SalesData3[Sales Amount (PKR)])</f>
        <v>11946830</v>
      </c>
    </row>
    <row r="826" spans="1:12" ht="14.25" customHeight="1" x14ac:dyDescent="0.45">
      <c r="A826" t="s">
        <v>1124</v>
      </c>
      <c r="B826" s="2" t="s">
        <v>240</v>
      </c>
      <c r="C826" t="s">
        <v>96</v>
      </c>
      <c r="D826" t="s">
        <v>472</v>
      </c>
      <c r="E826" t="s">
        <v>500</v>
      </c>
      <c r="F826" t="s">
        <v>81</v>
      </c>
      <c r="G826">
        <v>1</v>
      </c>
      <c r="H826" s="3">
        <v>1580</v>
      </c>
      <c r="I826" s="3">
        <v>1580</v>
      </c>
      <c r="J826" t="s">
        <v>82</v>
      </c>
      <c r="K826" t="s">
        <v>77</v>
      </c>
      <c r="L826" s="3">
        <f>SUM(SalesData3[Sales Amount (PKR)])</f>
        <v>11946830</v>
      </c>
    </row>
    <row r="827" spans="1:12" ht="14.25" customHeight="1" x14ac:dyDescent="0.45">
      <c r="A827" t="s">
        <v>1125</v>
      </c>
      <c r="B827" s="2" t="s">
        <v>537</v>
      </c>
      <c r="C827" t="s">
        <v>100</v>
      </c>
      <c r="D827" t="s">
        <v>472</v>
      </c>
      <c r="E827" t="s">
        <v>500</v>
      </c>
      <c r="F827" t="s">
        <v>90</v>
      </c>
      <c r="G827">
        <v>1</v>
      </c>
      <c r="H827" s="3">
        <v>1570</v>
      </c>
      <c r="I827" s="3">
        <v>1570</v>
      </c>
      <c r="J827" t="s">
        <v>82</v>
      </c>
      <c r="K827" t="s">
        <v>93</v>
      </c>
      <c r="L827" s="3">
        <f>SUM(SalesData3[Sales Amount (PKR)])</f>
        <v>11946830</v>
      </c>
    </row>
    <row r="828" spans="1:12" ht="14.25" customHeight="1" x14ac:dyDescent="0.45">
      <c r="A828" t="s">
        <v>1126</v>
      </c>
      <c r="B828" s="2" t="s">
        <v>192</v>
      </c>
      <c r="C828" t="s">
        <v>96</v>
      </c>
      <c r="D828" t="s">
        <v>472</v>
      </c>
      <c r="E828" t="s">
        <v>500</v>
      </c>
      <c r="F828" t="s">
        <v>75</v>
      </c>
      <c r="G828">
        <v>1</v>
      </c>
      <c r="H828" s="3">
        <v>1570</v>
      </c>
      <c r="I828" s="3">
        <v>1570</v>
      </c>
      <c r="J828" t="s">
        <v>82</v>
      </c>
      <c r="K828" t="s">
        <v>83</v>
      </c>
      <c r="L828" s="3">
        <f>SUM(SalesData3[Sales Amount (PKR)])</f>
        <v>11946830</v>
      </c>
    </row>
    <row r="829" spans="1:12" ht="14.25" customHeight="1" x14ac:dyDescent="0.45">
      <c r="A829" t="s">
        <v>1127</v>
      </c>
      <c r="B829" s="2" t="s">
        <v>693</v>
      </c>
      <c r="C829" t="s">
        <v>96</v>
      </c>
      <c r="D829" t="s">
        <v>472</v>
      </c>
      <c r="E829" t="s">
        <v>500</v>
      </c>
      <c r="F829" t="s">
        <v>81</v>
      </c>
      <c r="G829">
        <v>1</v>
      </c>
      <c r="H829" s="3">
        <v>1560</v>
      </c>
      <c r="I829" s="3">
        <v>1560</v>
      </c>
      <c r="J829" t="s">
        <v>76</v>
      </c>
      <c r="K829" t="s">
        <v>83</v>
      </c>
      <c r="L829" s="3">
        <f>SUM(SalesData3[Sales Amount (PKR)])</f>
        <v>11946830</v>
      </c>
    </row>
    <row r="830" spans="1:12" ht="14.25" customHeight="1" x14ac:dyDescent="0.45">
      <c r="A830" t="s">
        <v>1128</v>
      </c>
      <c r="B830" s="2" t="s">
        <v>552</v>
      </c>
      <c r="C830" t="s">
        <v>80</v>
      </c>
      <c r="D830" t="s">
        <v>334</v>
      </c>
      <c r="E830" t="s">
        <v>515</v>
      </c>
      <c r="F830" t="s">
        <v>117</v>
      </c>
      <c r="G830">
        <v>1</v>
      </c>
      <c r="H830" s="3">
        <v>1560</v>
      </c>
      <c r="I830" s="3">
        <v>1560</v>
      </c>
      <c r="J830" t="s">
        <v>76</v>
      </c>
      <c r="K830" t="s">
        <v>83</v>
      </c>
      <c r="L830" s="3">
        <f>SUM(SalesData3[Sales Amount (PKR)])</f>
        <v>11946830</v>
      </c>
    </row>
    <row r="831" spans="1:12" ht="14.25" customHeight="1" x14ac:dyDescent="0.45">
      <c r="A831" t="s">
        <v>1129</v>
      </c>
      <c r="B831" s="2" t="s">
        <v>385</v>
      </c>
      <c r="C831" t="s">
        <v>72</v>
      </c>
      <c r="D831" t="s">
        <v>334</v>
      </c>
      <c r="E831" t="s">
        <v>515</v>
      </c>
      <c r="F831" t="s">
        <v>123</v>
      </c>
      <c r="G831">
        <v>1</v>
      </c>
      <c r="H831" s="3">
        <v>1560</v>
      </c>
      <c r="I831" s="3">
        <v>1560</v>
      </c>
      <c r="J831" t="s">
        <v>76</v>
      </c>
      <c r="K831" t="s">
        <v>77</v>
      </c>
      <c r="L831" s="3">
        <f>SUM(SalesData3[Sales Amount (PKR)])</f>
        <v>11946830</v>
      </c>
    </row>
    <row r="832" spans="1:12" ht="14.25" customHeight="1" x14ac:dyDescent="0.45">
      <c r="A832" t="s">
        <v>1130</v>
      </c>
      <c r="B832" s="2" t="s">
        <v>95</v>
      </c>
      <c r="C832" t="s">
        <v>72</v>
      </c>
      <c r="D832" t="s">
        <v>472</v>
      </c>
      <c r="E832" t="s">
        <v>500</v>
      </c>
      <c r="F832" t="s">
        <v>140</v>
      </c>
      <c r="G832">
        <v>1</v>
      </c>
      <c r="H832" s="3">
        <v>1560</v>
      </c>
      <c r="I832" s="3">
        <v>1560</v>
      </c>
      <c r="J832" t="s">
        <v>76</v>
      </c>
      <c r="K832" t="s">
        <v>77</v>
      </c>
      <c r="L832" s="3">
        <f>SUM(SalesData3[Sales Amount (PKR)])</f>
        <v>11946830</v>
      </c>
    </row>
    <row r="833" spans="1:12" ht="14.25" customHeight="1" x14ac:dyDescent="0.45">
      <c r="A833" t="s">
        <v>1131</v>
      </c>
      <c r="B833" s="2" t="s">
        <v>583</v>
      </c>
      <c r="C833" t="s">
        <v>96</v>
      </c>
      <c r="D833" t="s">
        <v>334</v>
      </c>
      <c r="E833" t="s">
        <v>515</v>
      </c>
      <c r="F833" t="s">
        <v>81</v>
      </c>
      <c r="G833">
        <v>1</v>
      </c>
      <c r="H833" s="3">
        <v>1560</v>
      </c>
      <c r="I833" s="3">
        <v>1560</v>
      </c>
      <c r="J833" t="s">
        <v>82</v>
      </c>
      <c r="K833" t="s">
        <v>93</v>
      </c>
      <c r="L833" s="3">
        <f>SUM(SalesData3[Sales Amount (PKR)])</f>
        <v>11946830</v>
      </c>
    </row>
    <row r="834" spans="1:12" ht="14.25" customHeight="1" x14ac:dyDescent="0.45">
      <c r="A834" t="s">
        <v>1132</v>
      </c>
      <c r="B834" s="2" t="s">
        <v>276</v>
      </c>
      <c r="C834" t="s">
        <v>89</v>
      </c>
      <c r="D834" t="s">
        <v>472</v>
      </c>
      <c r="E834" t="s">
        <v>500</v>
      </c>
      <c r="F834" t="s">
        <v>123</v>
      </c>
      <c r="G834">
        <v>1</v>
      </c>
      <c r="H834" s="3">
        <v>1550</v>
      </c>
      <c r="I834" s="3">
        <v>1550</v>
      </c>
      <c r="J834" t="s">
        <v>76</v>
      </c>
      <c r="K834" t="s">
        <v>83</v>
      </c>
      <c r="L834" s="3">
        <f>SUM(SalesData3[Sales Amount (PKR)])</f>
        <v>11946830</v>
      </c>
    </row>
    <row r="835" spans="1:12" ht="14.25" customHeight="1" x14ac:dyDescent="0.45">
      <c r="A835" t="s">
        <v>1133</v>
      </c>
      <c r="B835" s="2" t="s">
        <v>715</v>
      </c>
      <c r="C835" t="s">
        <v>96</v>
      </c>
      <c r="D835" t="s">
        <v>472</v>
      </c>
      <c r="E835" t="s">
        <v>500</v>
      </c>
      <c r="F835" t="s">
        <v>140</v>
      </c>
      <c r="G835">
        <v>1</v>
      </c>
      <c r="H835" s="3">
        <v>1550</v>
      </c>
      <c r="I835" s="3">
        <v>1550</v>
      </c>
      <c r="J835" t="s">
        <v>82</v>
      </c>
      <c r="K835" t="s">
        <v>83</v>
      </c>
      <c r="L835" s="3">
        <f>SUM(SalesData3[Sales Amount (PKR)])</f>
        <v>11946830</v>
      </c>
    </row>
    <row r="836" spans="1:12" ht="14.25" customHeight="1" x14ac:dyDescent="0.45">
      <c r="A836" t="s">
        <v>1134</v>
      </c>
      <c r="B836" s="2" t="s">
        <v>158</v>
      </c>
      <c r="C836" t="s">
        <v>96</v>
      </c>
      <c r="D836" t="s">
        <v>472</v>
      </c>
      <c r="E836" t="s">
        <v>500</v>
      </c>
      <c r="F836" t="s">
        <v>90</v>
      </c>
      <c r="G836">
        <v>1</v>
      </c>
      <c r="H836" s="3">
        <v>1550</v>
      </c>
      <c r="I836" s="3">
        <v>1550</v>
      </c>
      <c r="J836" t="s">
        <v>76</v>
      </c>
      <c r="K836" t="s">
        <v>83</v>
      </c>
      <c r="L836" s="3">
        <f>SUM(SalesData3[Sales Amount (PKR)])</f>
        <v>11946830</v>
      </c>
    </row>
    <row r="837" spans="1:12" ht="14.25" customHeight="1" x14ac:dyDescent="0.45">
      <c r="A837" t="s">
        <v>1135</v>
      </c>
      <c r="B837" s="2" t="s">
        <v>343</v>
      </c>
      <c r="C837" t="s">
        <v>89</v>
      </c>
      <c r="D837" t="s">
        <v>472</v>
      </c>
      <c r="E837" t="s">
        <v>500</v>
      </c>
      <c r="F837" t="s">
        <v>75</v>
      </c>
      <c r="G837">
        <v>1</v>
      </c>
      <c r="H837" s="3">
        <v>1550</v>
      </c>
      <c r="I837" s="3">
        <v>1550</v>
      </c>
      <c r="J837" t="s">
        <v>76</v>
      </c>
      <c r="K837" t="s">
        <v>83</v>
      </c>
      <c r="L837" s="3">
        <f>SUM(SalesData3[Sales Amount (PKR)])</f>
        <v>11946830</v>
      </c>
    </row>
    <row r="838" spans="1:12" ht="14.25" customHeight="1" x14ac:dyDescent="0.45">
      <c r="A838" t="s">
        <v>1136</v>
      </c>
      <c r="B838" s="2" t="s">
        <v>208</v>
      </c>
      <c r="C838" t="s">
        <v>96</v>
      </c>
      <c r="D838" t="s">
        <v>472</v>
      </c>
      <c r="E838" t="s">
        <v>500</v>
      </c>
      <c r="F838" t="s">
        <v>81</v>
      </c>
      <c r="G838">
        <v>1</v>
      </c>
      <c r="H838" s="3">
        <v>1550</v>
      </c>
      <c r="I838" s="3">
        <v>1550</v>
      </c>
      <c r="J838" t="s">
        <v>76</v>
      </c>
      <c r="K838" t="s">
        <v>83</v>
      </c>
      <c r="L838" s="3">
        <f>SUM(SalesData3[Sales Amount (PKR)])</f>
        <v>11946830</v>
      </c>
    </row>
    <row r="839" spans="1:12" ht="14.25" customHeight="1" x14ac:dyDescent="0.45">
      <c r="A839" t="s">
        <v>1137</v>
      </c>
      <c r="B839" s="2" t="s">
        <v>550</v>
      </c>
      <c r="C839" t="s">
        <v>100</v>
      </c>
      <c r="D839" t="s">
        <v>472</v>
      </c>
      <c r="E839" t="s">
        <v>500</v>
      </c>
      <c r="F839" t="s">
        <v>86</v>
      </c>
      <c r="G839">
        <v>1</v>
      </c>
      <c r="H839" s="3">
        <v>1550</v>
      </c>
      <c r="I839" s="3">
        <v>1550</v>
      </c>
      <c r="J839" t="s">
        <v>76</v>
      </c>
      <c r="K839" t="s">
        <v>77</v>
      </c>
      <c r="L839" s="3">
        <f>SUM(SalesData3[Sales Amount (PKR)])</f>
        <v>11946830</v>
      </c>
    </row>
    <row r="840" spans="1:12" ht="14.25" customHeight="1" x14ac:dyDescent="0.45">
      <c r="A840" t="s">
        <v>1138</v>
      </c>
      <c r="B840" s="2" t="s">
        <v>489</v>
      </c>
      <c r="C840" t="s">
        <v>89</v>
      </c>
      <c r="D840" t="s">
        <v>472</v>
      </c>
      <c r="E840" t="s">
        <v>500</v>
      </c>
      <c r="F840" t="s">
        <v>86</v>
      </c>
      <c r="G840">
        <v>1</v>
      </c>
      <c r="H840" s="3">
        <v>1540</v>
      </c>
      <c r="I840" s="3">
        <v>1540</v>
      </c>
      <c r="J840" t="s">
        <v>76</v>
      </c>
      <c r="K840" t="s">
        <v>83</v>
      </c>
      <c r="L840" s="3">
        <f>SUM(SalesData3[Sales Amount (PKR)])</f>
        <v>11946830</v>
      </c>
    </row>
    <row r="841" spans="1:12" ht="14.25" customHeight="1" x14ac:dyDescent="0.45">
      <c r="A841" t="s">
        <v>1139</v>
      </c>
      <c r="B841" s="2" t="s">
        <v>106</v>
      </c>
      <c r="C841" t="s">
        <v>89</v>
      </c>
      <c r="D841" t="s">
        <v>472</v>
      </c>
      <c r="E841" t="s">
        <v>500</v>
      </c>
      <c r="F841" t="s">
        <v>97</v>
      </c>
      <c r="G841">
        <v>1</v>
      </c>
      <c r="H841" s="3">
        <v>1540</v>
      </c>
      <c r="I841" s="3">
        <v>1540</v>
      </c>
      <c r="J841" t="s">
        <v>76</v>
      </c>
      <c r="K841" t="s">
        <v>83</v>
      </c>
      <c r="L841" s="3">
        <f>SUM(SalesData3[Sales Amount (PKR)])</f>
        <v>11946830</v>
      </c>
    </row>
    <row r="842" spans="1:12" ht="14.25" customHeight="1" x14ac:dyDescent="0.45">
      <c r="A842" t="s">
        <v>1140</v>
      </c>
      <c r="B842" s="2" t="s">
        <v>648</v>
      </c>
      <c r="C842" t="s">
        <v>100</v>
      </c>
      <c r="D842" t="s">
        <v>334</v>
      </c>
      <c r="E842" t="s">
        <v>515</v>
      </c>
      <c r="F842" t="s">
        <v>75</v>
      </c>
      <c r="G842">
        <v>1</v>
      </c>
      <c r="H842" s="3">
        <v>1540</v>
      </c>
      <c r="I842" s="3">
        <v>1540</v>
      </c>
      <c r="J842" t="s">
        <v>82</v>
      </c>
      <c r="K842" t="s">
        <v>83</v>
      </c>
      <c r="L842" s="3">
        <f>SUM(SalesData3[Sales Amount (PKR)])</f>
        <v>11946830</v>
      </c>
    </row>
    <row r="843" spans="1:12" ht="14.25" customHeight="1" x14ac:dyDescent="0.45">
      <c r="A843" t="s">
        <v>1141</v>
      </c>
      <c r="B843" s="2" t="s">
        <v>407</v>
      </c>
      <c r="C843" t="s">
        <v>96</v>
      </c>
      <c r="D843" t="s">
        <v>472</v>
      </c>
      <c r="E843" t="s">
        <v>500</v>
      </c>
      <c r="F843" t="s">
        <v>123</v>
      </c>
      <c r="G843">
        <v>1</v>
      </c>
      <c r="H843" s="3">
        <v>1540</v>
      </c>
      <c r="I843" s="3">
        <v>1540</v>
      </c>
      <c r="J843" t="s">
        <v>82</v>
      </c>
      <c r="K843" t="s">
        <v>93</v>
      </c>
      <c r="L843" s="3">
        <f>SUM(SalesData3[Sales Amount (PKR)])</f>
        <v>11946830</v>
      </c>
    </row>
    <row r="844" spans="1:12" ht="14.25" customHeight="1" x14ac:dyDescent="0.45">
      <c r="A844" t="s">
        <v>1142</v>
      </c>
      <c r="B844" s="2" t="s">
        <v>562</v>
      </c>
      <c r="C844" t="s">
        <v>96</v>
      </c>
      <c r="D844" t="s">
        <v>334</v>
      </c>
      <c r="E844" t="s">
        <v>515</v>
      </c>
      <c r="F844" t="s">
        <v>107</v>
      </c>
      <c r="G844">
        <v>1</v>
      </c>
      <c r="H844" s="3">
        <v>1530</v>
      </c>
      <c r="I844" s="3">
        <v>1530</v>
      </c>
      <c r="J844" t="s">
        <v>82</v>
      </c>
      <c r="K844" t="s">
        <v>83</v>
      </c>
      <c r="L844" s="3">
        <f>SUM(SalesData3[Sales Amount (PKR)])</f>
        <v>11946830</v>
      </c>
    </row>
    <row r="845" spans="1:12" ht="14.25" customHeight="1" x14ac:dyDescent="0.45">
      <c r="A845" t="s">
        <v>1143</v>
      </c>
      <c r="B845" s="2" t="s">
        <v>544</v>
      </c>
      <c r="C845" t="s">
        <v>89</v>
      </c>
      <c r="D845" t="s">
        <v>334</v>
      </c>
      <c r="E845" t="s">
        <v>515</v>
      </c>
      <c r="F845" t="s">
        <v>107</v>
      </c>
      <c r="G845">
        <v>1</v>
      </c>
      <c r="H845" s="3">
        <v>1530</v>
      </c>
      <c r="I845" s="3">
        <v>1530</v>
      </c>
      <c r="J845" t="s">
        <v>82</v>
      </c>
      <c r="K845" t="s">
        <v>93</v>
      </c>
      <c r="L845" s="3">
        <f>SUM(SalesData3[Sales Amount (PKR)])</f>
        <v>11946830</v>
      </c>
    </row>
    <row r="846" spans="1:12" ht="14.25" customHeight="1" x14ac:dyDescent="0.45">
      <c r="A846" t="s">
        <v>1144</v>
      </c>
      <c r="B846" s="2" t="s">
        <v>695</v>
      </c>
      <c r="C846" t="s">
        <v>100</v>
      </c>
      <c r="D846" t="s">
        <v>334</v>
      </c>
      <c r="E846" t="s">
        <v>515</v>
      </c>
      <c r="F846" t="s">
        <v>140</v>
      </c>
      <c r="G846">
        <v>1</v>
      </c>
      <c r="H846" s="3">
        <v>1530</v>
      </c>
      <c r="I846" s="3">
        <v>1530</v>
      </c>
      <c r="J846" t="s">
        <v>76</v>
      </c>
      <c r="K846" t="s">
        <v>77</v>
      </c>
      <c r="L846" s="3">
        <f>SUM(SalesData3[Sales Amount (PKR)])</f>
        <v>11946830</v>
      </c>
    </row>
    <row r="847" spans="1:12" ht="14.25" customHeight="1" x14ac:dyDescent="0.45">
      <c r="A847" t="s">
        <v>1145</v>
      </c>
      <c r="B847" s="2" t="s">
        <v>111</v>
      </c>
      <c r="C847" t="s">
        <v>96</v>
      </c>
      <c r="D847" t="s">
        <v>334</v>
      </c>
      <c r="E847" t="s">
        <v>515</v>
      </c>
      <c r="F847" t="s">
        <v>81</v>
      </c>
      <c r="G847">
        <v>1</v>
      </c>
      <c r="H847" s="3">
        <v>1520</v>
      </c>
      <c r="I847" s="3">
        <v>1520</v>
      </c>
      <c r="J847" t="s">
        <v>76</v>
      </c>
      <c r="K847" t="s">
        <v>77</v>
      </c>
      <c r="L847" s="3">
        <f>SUM(SalesData3[Sales Amount (PKR)])</f>
        <v>11946830</v>
      </c>
    </row>
    <row r="848" spans="1:12" ht="14.25" customHeight="1" x14ac:dyDescent="0.45">
      <c r="A848" t="s">
        <v>1146</v>
      </c>
      <c r="B848" s="2" t="s">
        <v>242</v>
      </c>
      <c r="C848" t="s">
        <v>96</v>
      </c>
      <c r="D848" t="s">
        <v>334</v>
      </c>
      <c r="E848" t="s">
        <v>515</v>
      </c>
      <c r="F848" t="s">
        <v>107</v>
      </c>
      <c r="G848">
        <v>1</v>
      </c>
      <c r="H848" s="3">
        <v>1520</v>
      </c>
      <c r="I848" s="3">
        <v>1520</v>
      </c>
      <c r="J848" t="s">
        <v>82</v>
      </c>
      <c r="K848" t="s">
        <v>83</v>
      </c>
      <c r="L848" s="3">
        <f>SUM(SalesData3[Sales Amount (PKR)])</f>
        <v>11946830</v>
      </c>
    </row>
    <row r="849" spans="1:12" ht="14.25" customHeight="1" x14ac:dyDescent="0.45">
      <c r="A849" t="s">
        <v>1147</v>
      </c>
      <c r="B849" s="2" t="s">
        <v>109</v>
      </c>
      <c r="C849" t="s">
        <v>80</v>
      </c>
      <c r="D849" t="s">
        <v>334</v>
      </c>
      <c r="E849" t="s">
        <v>515</v>
      </c>
      <c r="F849" t="s">
        <v>86</v>
      </c>
      <c r="G849">
        <v>1</v>
      </c>
      <c r="H849" s="3">
        <v>1520</v>
      </c>
      <c r="I849" s="3">
        <v>1520</v>
      </c>
      <c r="J849" t="s">
        <v>76</v>
      </c>
      <c r="K849" t="s">
        <v>83</v>
      </c>
      <c r="L849" s="3">
        <f>SUM(SalesData3[Sales Amount (PKR)])</f>
        <v>11946830</v>
      </c>
    </row>
    <row r="850" spans="1:12" ht="14.25" customHeight="1" x14ac:dyDescent="0.45">
      <c r="A850" t="s">
        <v>1148</v>
      </c>
      <c r="B850" s="2" t="s">
        <v>585</v>
      </c>
      <c r="C850" t="s">
        <v>96</v>
      </c>
      <c r="D850" t="s">
        <v>334</v>
      </c>
      <c r="E850" t="s">
        <v>515</v>
      </c>
      <c r="F850" t="s">
        <v>131</v>
      </c>
      <c r="G850">
        <v>1</v>
      </c>
      <c r="H850" s="3">
        <v>1520</v>
      </c>
      <c r="I850" s="3">
        <v>1520</v>
      </c>
      <c r="J850" t="s">
        <v>76</v>
      </c>
      <c r="K850" t="s">
        <v>83</v>
      </c>
      <c r="L850" s="3">
        <f>SUM(SalesData3[Sales Amount (PKR)])</f>
        <v>11946830</v>
      </c>
    </row>
    <row r="851" spans="1:12" ht="14.25" customHeight="1" x14ac:dyDescent="0.45">
      <c r="A851" t="s">
        <v>1149</v>
      </c>
      <c r="B851" s="2" t="s">
        <v>298</v>
      </c>
      <c r="C851" t="s">
        <v>89</v>
      </c>
      <c r="D851" t="s">
        <v>334</v>
      </c>
      <c r="E851" t="s">
        <v>515</v>
      </c>
      <c r="F851" t="s">
        <v>75</v>
      </c>
      <c r="G851">
        <v>1</v>
      </c>
      <c r="H851" s="3">
        <v>1510</v>
      </c>
      <c r="I851" s="3">
        <v>1510</v>
      </c>
      <c r="J851" t="s">
        <v>82</v>
      </c>
      <c r="K851" t="s">
        <v>77</v>
      </c>
      <c r="L851" s="3">
        <f>SUM(SalesData3[Sales Amount (PKR)])</f>
        <v>11946830</v>
      </c>
    </row>
    <row r="852" spans="1:12" ht="14.25" customHeight="1" x14ac:dyDescent="0.45">
      <c r="A852" t="s">
        <v>1150</v>
      </c>
      <c r="B852" s="2" t="s">
        <v>591</v>
      </c>
      <c r="C852" t="s">
        <v>89</v>
      </c>
      <c r="D852" t="s">
        <v>334</v>
      </c>
      <c r="E852" t="s">
        <v>515</v>
      </c>
      <c r="F852" t="s">
        <v>123</v>
      </c>
      <c r="G852">
        <v>1</v>
      </c>
      <c r="H852" s="3">
        <v>1510</v>
      </c>
      <c r="I852" s="3">
        <v>1510</v>
      </c>
      <c r="J852" t="s">
        <v>82</v>
      </c>
      <c r="K852" t="s">
        <v>83</v>
      </c>
      <c r="L852" s="3">
        <f>SUM(SalesData3[Sales Amount (PKR)])</f>
        <v>11946830</v>
      </c>
    </row>
    <row r="853" spans="1:12" ht="14.25" customHeight="1" x14ac:dyDescent="0.45">
      <c r="A853" t="s">
        <v>1151</v>
      </c>
      <c r="B853" s="2" t="s">
        <v>347</v>
      </c>
      <c r="C853" t="s">
        <v>100</v>
      </c>
      <c r="D853" t="s">
        <v>334</v>
      </c>
      <c r="E853" t="s">
        <v>515</v>
      </c>
      <c r="F853" t="s">
        <v>86</v>
      </c>
      <c r="G853">
        <v>1</v>
      </c>
      <c r="H853" s="3">
        <v>1510</v>
      </c>
      <c r="I853" s="3">
        <v>1510</v>
      </c>
      <c r="J853" t="s">
        <v>76</v>
      </c>
      <c r="K853" t="s">
        <v>83</v>
      </c>
      <c r="L853" s="3">
        <f>SUM(SalesData3[Sales Amount (PKR)])</f>
        <v>11946830</v>
      </c>
    </row>
    <row r="854" spans="1:12" ht="14.25" customHeight="1" x14ac:dyDescent="0.45">
      <c r="A854" t="s">
        <v>1152</v>
      </c>
      <c r="B854" s="2" t="s">
        <v>326</v>
      </c>
      <c r="C854" t="s">
        <v>72</v>
      </c>
      <c r="D854" t="s">
        <v>334</v>
      </c>
      <c r="E854" t="s">
        <v>515</v>
      </c>
      <c r="F854" t="s">
        <v>140</v>
      </c>
      <c r="G854">
        <v>1</v>
      </c>
      <c r="H854" s="3">
        <v>1510</v>
      </c>
      <c r="I854" s="3">
        <v>1510</v>
      </c>
      <c r="J854" t="s">
        <v>76</v>
      </c>
      <c r="K854" t="s">
        <v>83</v>
      </c>
      <c r="L854" s="3">
        <f>SUM(SalesData3[Sales Amount (PKR)])</f>
        <v>11946830</v>
      </c>
    </row>
    <row r="855" spans="1:12" ht="14.25" customHeight="1" x14ac:dyDescent="0.45">
      <c r="A855" t="s">
        <v>1153</v>
      </c>
      <c r="B855" s="2" t="s">
        <v>166</v>
      </c>
      <c r="C855" t="s">
        <v>89</v>
      </c>
      <c r="D855" t="s">
        <v>334</v>
      </c>
      <c r="E855" t="s">
        <v>515</v>
      </c>
      <c r="F855" t="s">
        <v>86</v>
      </c>
      <c r="G855">
        <v>1</v>
      </c>
      <c r="H855" s="3">
        <v>1500</v>
      </c>
      <c r="I855" s="3">
        <v>1500</v>
      </c>
      <c r="J855" t="s">
        <v>82</v>
      </c>
      <c r="K855" t="s">
        <v>83</v>
      </c>
      <c r="L855" s="3">
        <f>SUM(SalesData3[Sales Amount (PKR)])</f>
        <v>11946830</v>
      </c>
    </row>
    <row r="856" spans="1:12" ht="14.25" customHeight="1" x14ac:dyDescent="0.45">
      <c r="A856" t="s">
        <v>1154</v>
      </c>
      <c r="B856" s="2" t="s">
        <v>146</v>
      </c>
      <c r="C856" t="s">
        <v>96</v>
      </c>
      <c r="D856" t="s">
        <v>334</v>
      </c>
      <c r="E856" t="s">
        <v>515</v>
      </c>
      <c r="F856" t="s">
        <v>90</v>
      </c>
      <c r="G856">
        <v>1</v>
      </c>
      <c r="H856" s="3">
        <v>1490</v>
      </c>
      <c r="I856" s="3">
        <v>1490</v>
      </c>
      <c r="J856" t="s">
        <v>82</v>
      </c>
      <c r="K856" t="s">
        <v>93</v>
      </c>
      <c r="L856" s="3">
        <f>SUM(SalesData3[Sales Amount (PKR)])</f>
        <v>11946830</v>
      </c>
    </row>
    <row r="857" spans="1:12" ht="14.25" customHeight="1" x14ac:dyDescent="0.45">
      <c r="A857" t="s">
        <v>1155</v>
      </c>
      <c r="B857" s="2" t="s">
        <v>204</v>
      </c>
      <c r="C857" t="s">
        <v>89</v>
      </c>
      <c r="D857" t="s">
        <v>334</v>
      </c>
      <c r="E857" t="s">
        <v>515</v>
      </c>
      <c r="F857" t="s">
        <v>117</v>
      </c>
      <c r="G857">
        <v>1</v>
      </c>
      <c r="H857" s="3">
        <v>1490</v>
      </c>
      <c r="I857" s="3">
        <v>1490</v>
      </c>
      <c r="J857" t="s">
        <v>82</v>
      </c>
      <c r="K857" t="s">
        <v>93</v>
      </c>
      <c r="L857" s="3">
        <f>SUM(SalesData3[Sales Amount (PKR)])</f>
        <v>11946830</v>
      </c>
    </row>
    <row r="858" spans="1:12" ht="14.25" customHeight="1" x14ac:dyDescent="0.45">
      <c r="A858" t="s">
        <v>1156</v>
      </c>
      <c r="B858" s="2" t="s">
        <v>171</v>
      </c>
      <c r="C858" t="s">
        <v>100</v>
      </c>
      <c r="D858" t="s">
        <v>334</v>
      </c>
      <c r="E858" t="s">
        <v>515</v>
      </c>
      <c r="F858" t="s">
        <v>140</v>
      </c>
      <c r="G858">
        <v>1</v>
      </c>
      <c r="H858" s="3">
        <v>1480</v>
      </c>
      <c r="I858" s="3">
        <v>1480</v>
      </c>
      <c r="J858" t="s">
        <v>82</v>
      </c>
      <c r="K858" t="s">
        <v>83</v>
      </c>
      <c r="L858" s="3">
        <f>SUM(SalesData3[Sales Amount (PKR)])</f>
        <v>11946830</v>
      </c>
    </row>
    <row r="859" spans="1:12" ht="14.25" customHeight="1" x14ac:dyDescent="0.45">
      <c r="A859" t="s">
        <v>1157</v>
      </c>
      <c r="B859" s="2" t="s">
        <v>817</v>
      </c>
      <c r="C859" t="s">
        <v>96</v>
      </c>
      <c r="D859" t="s">
        <v>334</v>
      </c>
      <c r="E859" t="s">
        <v>515</v>
      </c>
      <c r="F859" t="s">
        <v>107</v>
      </c>
      <c r="G859">
        <v>1</v>
      </c>
      <c r="H859" s="3">
        <v>1480</v>
      </c>
      <c r="I859" s="3">
        <v>1480</v>
      </c>
      <c r="J859" t="s">
        <v>76</v>
      </c>
      <c r="K859" t="s">
        <v>83</v>
      </c>
      <c r="L859" s="3">
        <f>SUM(SalesData3[Sales Amount (PKR)])</f>
        <v>11946830</v>
      </c>
    </row>
    <row r="860" spans="1:12" ht="14.25" customHeight="1" x14ac:dyDescent="0.45">
      <c r="A860" t="s">
        <v>1158</v>
      </c>
      <c r="B860" s="2" t="s">
        <v>162</v>
      </c>
      <c r="C860" t="s">
        <v>72</v>
      </c>
      <c r="D860" t="s">
        <v>334</v>
      </c>
      <c r="E860" t="s">
        <v>515</v>
      </c>
      <c r="F860" t="s">
        <v>90</v>
      </c>
      <c r="G860">
        <v>1</v>
      </c>
      <c r="H860" s="3">
        <v>1480</v>
      </c>
      <c r="I860" s="3">
        <v>1480</v>
      </c>
      <c r="J860" t="s">
        <v>76</v>
      </c>
      <c r="K860" t="s">
        <v>77</v>
      </c>
      <c r="L860" s="3">
        <f>SUM(SalesData3[Sales Amount (PKR)])</f>
        <v>11946830</v>
      </c>
    </row>
    <row r="861" spans="1:12" ht="14.25" customHeight="1" x14ac:dyDescent="0.45">
      <c r="A861" t="s">
        <v>1159</v>
      </c>
      <c r="B861" s="2" t="s">
        <v>556</v>
      </c>
      <c r="C861" t="s">
        <v>89</v>
      </c>
      <c r="D861" t="s">
        <v>334</v>
      </c>
      <c r="E861" t="s">
        <v>515</v>
      </c>
      <c r="F861" t="s">
        <v>75</v>
      </c>
      <c r="G861">
        <v>1</v>
      </c>
      <c r="H861" s="3">
        <v>1470</v>
      </c>
      <c r="I861" s="3">
        <v>1470</v>
      </c>
      <c r="J861" t="s">
        <v>76</v>
      </c>
      <c r="K861" t="s">
        <v>77</v>
      </c>
      <c r="L861" s="3">
        <f>SUM(SalesData3[Sales Amount (PKR)])</f>
        <v>11946830</v>
      </c>
    </row>
    <row r="862" spans="1:12" ht="14.25" customHeight="1" x14ac:dyDescent="0.45">
      <c r="A862" t="s">
        <v>1160</v>
      </c>
      <c r="B862" s="2" t="s">
        <v>337</v>
      </c>
      <c r="C862" t="s">
        <v>72</v>
      </c>
      <c r="D862" t="s">
        <v>334</v>
      </c>
      <c r="E862" t="s">
        <v>515</v>
      </c>
      <c r="F862" t="s">
        <v>86</v>
      </c>
      <c r="G862">
        <v>1</v>
      </c>
      <c r="H862" s="3">
        <v>1470</v>
      </c>
      <c r="I862" s="3">
        <v>1470</v>
      </c>
      <c r="J862" t="s">
        <v>82</v>
      </c>
      <c r="K862" t="s">
        <v>77</v>
      </c>
      <c r="L862" s="3">
        <f>SUM(SalesData3[Sales Amount (PKR)])</f>
        <v>11946830</v>
      </c>
    </row>
    <row r="863" spans="1:12" ht="14.25" customHeight="1" x14ac:dyDescent="0.45">
      <c r="A863" t="s">
        <v>1161</v>
      </c>
      <c r="B863" s="2" t="s">
        <v>453</v>
      </c>
      <c r="C863" t="s">
        <v>100</v>
      </c>
      <c r="D863" t="s">
        <v>334</v>
      </c>
      <c r="E863" t="s">
        <v>515</v>
      </c>
      <c r="F863" t="s">
        <v>75</v>
      </c>
      <c r="G863">
        <v>1</v>
      </c>
      <c r="H863" s="3">
        <v>1460</v>
      </c>
      <c r="I863" s="3">
        <v>1460</v>
      </c>
      <c r="J863" t="s">
        <v>76</v>
      </c>
      <c r="K863" t="s">
        <v>83</v>
      </c>
      <c r="L863" s="3">
        <f>SUM(SalesData3[Sales Amount (PKR)])</f>
        <v>11946830</v>
      </c>
    </row>
    <row r="864" spans="1:12" ht="14.25" customHeight="1" x14ac:dyDescent="0.45">
      <c r="A864" t="s">
        <v>1162</v>
      </c>
      <c r="B864" s="2" t="s">
        <v>1086</v>
      </c>
      <c r="C864" t="s">
        <v>89</v>
      </c>
      <c r="D864" t="s">
        <v>334</v>
      </c>
      <c r="E864" t="s">
        <v>515</v>
      </c>
      <c r="F864" t="s">
        <v>123</v>
      </c>
      <c r="G864">
        <v>1</v>
      </c>
      <c r="H864" s="3">
        <v>1460</v>
      </c>
      <c r="I864" s="3">
        <v>1460</v>
      </c>
      <c r="J864" t="s">
        <v>76</v>
      </c>
      <c r="K864" t="s">
        <v>83</v>
      </c>
      <c r="L864" s="3">
        <f>SUM(SalesData3[Sales Amount (PKR)])</f>
        <v>11946830</v>
      </c>
    </row>
    <row r="865" spans="1:12" ht="14.25" customHeight="1" x14ac:dyDescent="0.45">
      <c r="A865" t="s">
        <v>1163</v>
      </c>
      <c r="B865" s="2" t="s">
        <v>869</v>
      </c>
      <c r="C865" t="s">
        <v>72</v>
      </c>
      <c r="D865" t="s">
        <v>334</v>
      </c>
      <c r="E865" t="s">
        <v>515</v>
      </c>
      <c r="F865" t="s">
        <v>117</v>
      </c>
      <c r="G865">
        <v>1</v>
      </c>
      <c r="H865" s="3">
        <v>1450</v>
      </c>
      <c r="I865" s="3">
        <v>1450</v>
      </c>
      <c r="J865" t="s">
        <v>82</v>
      </c>
      <c r="K865" t="s">
        <v>83</v>
      </c>
      <c r="L865" s="3">
        <f>SUM(SalesData3[Sales Amount (PKR)])</f>
        <v>11946830</v>
      </c>
    </row>
    <row r="866" spans="1:12" ht="14.25" customHeight="1" x14ac:dyDescent="0.45">
      <c r="A866" t="s">
        <v>1164</v>
      </c>
      <c r="B866" s="2" t="s">
        <v>162</v>
      </c>
      <c r="C866" t="s">
        <v>72</v>
      </c>
      <c r="D866" t="s">
        <v>334</v>
      </c>
      <c r="E866" t="s">
        <v>515</v>
      </c>
      <c r="F866" t="s">
        <v>81</v>
      </c>
      <c r="G866">
        <v>1</v>
      </c>
      <c r="H866" s="3">
        <v>1450</v>
      </c>
      <c r="I866" s="3">
        <v>1450</v>
      </c>
      <c r="J866" t="s">
        <v>76</v>
      </c>
      <c r="K866" t="s">
        <v>77</v>
      </c>
      <c r="L866" s="3">
        <f>SUM(SalesData3[Sales Amount (PKR)])</f>
        <v>11946830</v>
      </c>
    </row>
    <row r="867" spans="1:12" ht="14.25" customHeight="1" x14ac:dyDescent="0.45">
      <c r="A867" t="s">
        <v>1165</v>
      </c>
      <c r="B867" s="2" t="s">
        <v>588</v>
      </c>
      <c r="C867" t="s">
        <v>96</v>
      </c>
      <c r="D867" t="s">
        <v>334</v>
      </c>
      <c r="E867" t="s">
        <v>515</v>
      </c>
      <c r="F867" t="s">
        <v>86</v>
      </c>
      <c r="G867">
        <v>1</v>
      </c>
      <c r="H867" s="3">
        <v>1450</v>
      </c>
      <c r="I867" s="3">
        <v>1450</v>
      </c>
      <c r="J867" t="s">
        <v>82</v>
      </c>
      <c r="K867" t="s">
        <v>83</v>
      </c>
      <c r="L867" s="3">
        <f>SUM(SalesData3[Sales Amount (PKR)])</f>
        <v>11946830</v>
      </c>
    </row>
    <row r="868" spans="1:12" ht="14.25" customHeight="1" x14ac:dyDescent="0.45">
      <c r="A868" t="s">
        <v>1166</v>
      </c>
      <c r="B868" s="2" t="s">
        <v>817</v>
      </c>
      <c r="C868" t="s">
        <v>100</v>
      </c>
      <c r="D868" t="s">
        <v>334</v>
      </c>
      <c r="E868" t="s">
        <v>515</v>
      </c>
      <c r="F868" t="s">
        <v>90</v>
      </c>
      <c r="G868">
        <v>1</v>
      </c>
      <c r="H868" s="3">
        <v>1450</v>
      </c>
      <c r="I868" s="3">
        <v>1450</v>
      </c>
      <c r="J868" t="s">
        <v>76</v>
      </c>
      <c r="K868" t="s">
        <v>93</v>
      </c>
      <c r="L868" s="3">
        <f>SUM(SalesData3[Sales Amount (PKR)])</f>
        <v>11946830</v>
      </c>
    </row>
    <row r="869" spans="1:12" ht="14.25" customHeight="1" x14ac:dyDescent="0.45">
      <c r="A869" t="s">
        <v>1167</v>
      </c>
      <c r="B869" s="2" t="s">
        <v>109</v>
      </c>
      <c r="C869" t="s">
        <v>96</v>
      </c>
      <c r="D869" t="s">
        <v>334</v>
      </c>
      <c r="E869" t="s">
        <v>515</v>
      </c>
      <c r="F869" t="s">
        <v>81</v>
      </c>
      <c r="G869">
        <v>1</v>
      </c>
      <c r="H869" s="3">
        <v>1450</v>
      </c>
      <c r="I869" s="3">
        <v>1450</v>
      </c>
      <c r="J869" t="s">
        <v>82</v>
      </c>
      <c r="K869" t="s">
        <v>83</v>
      </c>
      <c r="L869" s="3">
        <f>SUM(SalesData3[Sales Amount (PKR)])</f>
        <v>11946830</v>
      </c>
    </row>
    <row r="870" spans="1:12" ht="14.25" customHeight="1" x14ac:dyDescent="0.45">
      <c r="A870" t="s">
        <v>1168</v>
      </c>
      <c r="B870" s="2" t="s">
        <v>295</v>
      </c>
      <c r="C870" t="s">
        <v>80</v>
      </c>
      <c r="D870" t="s">
        <v>472</v>
      </c>
      <c r="E870" t="s">
        <v>557</v>
      </c>
      <c r="F870" t="s">
        <v>117</v>
      </c>
      <c r="G870">
        <v>1</v>
      </c>
      <c r="H870" s="3">
        <v>1250</v>
      </c>
      <c r="I870" s="3">
        <v>1250</v>
      </c>
      <c r="J870" t="s">
        <v>76</v>
      </c>
      <c r="K870" t="s">
        <v>93</v>
      </c>
      <c r="L870" s="3">
        <f>SUM(SalesData3[Sales Amount (PKR)])</f>
        <v>11946830</v>
      </c>
    </row>
    <row r="871" spans="1:12" ht="14.25" customHeight="1" x14ac:dyDescent="0.45">
      <c r="A871" t="s">
        <v>1169</v>
      </c>
      <c r="B871" s="2" t="s">
        <v>164</v>
      </c>
      <c r="C871" t="s">
        <v>96</v>
      </c>
      <c r="D871" t="s">
        <v>472</v>
      </c>
      <c r="E871" t="s">
        <v>557</v>
      </c>
      <c r="F871" t="s">
        <v>140</v>
      </c>
      <c r="G871">
        <v>1</v>
      </c>
      <c r="H871" s="3">
        <v>1250</v>
      </c>
      <c r="I871" s="3">
        <v>1250</v>
      </c>
      <c r="J871" t="s">
        <v>76</v>
      </c>
      <c r="K871" t="s">
        <v>77</v>
      </c>
      <c r="L871" s="3">
        <f>SUM(SalesData3[Sales Amount (PKR)])</f>
        <v>11946830</v>
      </c>
    </row>
    <row r="872" spans="1:12" ht="14.25" customHeight="1" x14ac:dyDescent="0.45">
      <c r="A872" t="s">
        <v>1170</v>
      </c>
      <c r="B872" s="2" t="s">
        <v>569</v>
      </c>
      <c r="C872" t="s">
        <v>89</v>
      </c>
      <c r="D872" t="s">
        <v>472</v>
      </c>
      <c r="E872" t="s">
        <v>557</v>
      </c>
      <c r="F872" t="s">
        <v>123</v>
      </c>
      <c r="G872">
        <v>1</v>
      </c>
      <c r="H872" s="3">
        <v>1240</v>
      </c>
      <c r="I872" s="3">
        <v>1240</v>
      </c>
      <c r="J872" t="s">
        <v>82</v>
      </c>
      <c r="K872" t="s">
        <v>77</v>
      </c>
      <c r="L872" s="3">
        <f>SUM(SalesData3[Sales Amount (PKR)])</f>
        <v>11946830</v>
      </c>
    </row>
    <row r="873" spans="1:12" ht="14.25" customHeight="1" x14ac:dyDescent="0.45">
      <c r="A873" t="s">
        <v>1171</v>
      </c>
      <c r="B873" s="2" t="s">
        <v>544</v>
      </c>
      <c r="C873" t="s">
        <v>89</v>
      </c>
      <c r="D873" t="s">
        <v>472</v>
      </c>
      <c r="E873" t="s">
        <v>557</v>
      </c>
      <c r="F873" t="s">
        <v>123</v>
      </c>
      <c r="G873">
        <v>1</v>
      </c>
      <c r="H873" s="3">
        <v>1240</v>
      </c>
      <c r="I873" s="3">
        <v>1240</v>
      </c>
      <c r="J873" t="s">
        <v>76</v>
      </c>
      <c r="K873" t="s">
        <v>77</v>
      </c>
      <c r="L873" s="3">
        <f>SUM(SalesData3[Sales Amount (PKR)])</f>
        <v>11946830</v>
      </c>
    </row>
    <row r="874" spans="1:12" ht="14.25" customHeight="1" x14ac:dyDescent="0.45">
      <c r="A874" t="s">
        <v>1172</v>
      </c>
      <c r="B874" s="2" t="s">
        <v>111</v>
      </c>
      <c r="C874" t="s">
        <v>80</v>
      </c>
      <c r="D874" t="s">
        <v>472</v>
      </c>
      <c r="E874" t="s">
        <v>557</v>
      </c>
      <c r="F874" t="s">
        <v>131</v>
      </c>
      <c r="G874">
        <v>1</v>
      </c>
      <c r="H874" s="3">
        <v>1240</v>
      </c>
      <c r="I874" s="3">
        <v>1240</v>
      </c>
      <c r="J874" t="s">
        <v>76</v>
      </c>
      <c r="K874" t="s">
        <v>77</v>
      </c>
      <c r="L874" s="3">
        <f>SUM(SalesData3[Sales Amount (PKR)])</f>
        <v>11946830</v>
      </c>
    </row>
    <row r="875" spans="1:12" ht="14.25" customHeight="1" x14ac:dyDescent="0.45">
      <c r="A875" t="s">
        <v>1173</v>
      </c>
      <c r="B875" s="2" t="s">
        <v>119</v>
      </c>
      <c r="C875" t="s">
        <v>72</v>
      </c>
      <c r="D875" t="s">
        <v>472</v>
      </c>
      <c r="E875" t="s">
        <v>557</v>
      </c>
      <c r="F875" t="s">
        <v>140</v>
      </c>
      <c r="G875">
        <v>1</v>
      </c>
      <c r="H875" s="3">
        <v>1240</v>
      </c>
      <c r="I875" s="3">
        <v>1240</v>
      </c>
      <c r="J875" t="s">
        <v>82</v>
      </c>
      <c r="K875" t="s">
        <v>77</v>
      </c>
      <c r="L875" s="3">
        <f>SUM(SalesData3[Sales Amount (PKR)])</f>
        <v>11946830</v>
      </c>
    </row>
    <row r="876" spans="1:12" ht="14.25" customHeight="1" x14ac:dyDescent="0.45">
      <c r="A876" t="s">
        <v>1174</v>
      </c>
      <c r="B876" s="2" t="s">
        <v>359</v>
      </c>
      <c r="C876" t="s">
        <v>89</v>
      </c>
      <c r="D876" t="s">
        <v>472</v>
      </c>
      <c r="E876" t="s">
        <v>557</v>
      </c>
      <c r="F876" t="s">
        <v>117</v>
      </c>
      <c r="G876">
        <v>1</v>
      </c>
      <c r="H876" s="3">
        <v>1240</v>
      </c>
      <c r="I876" s="3">
        <v>1240</v>
      </c>
      <c r="J876" t="s">
        <v>82</v>
      </c>
      <c r="K876" t="s">
        <v>83</v>
      </c>
      <c r="L876" s="3">
        <f>SUM(SalesData3[Sales Amount (PKR)])</f>
        <v>11946830</v>
      </c>
    </row>
    <row r="877" spans="1:12" ht="14.25" customHeight="1" x14ac:dyDescent="0.45">
      <c r="A877" t="s">
        <v>1175</v>
      </c>
      <c r="B877" s="2" t="s">
        <v>283</v>
      </c>
      <c r="C877" t="s">
        <v>80</v>
      </c>
      <c r="D877" t="s">
        <v>472</v>
      </c>
      <c r="E877" t="s">
        <v>557</v>
      </c>
      <c r="F877" t="s">
        <v>75</v>
      </c>
      <c r="G877">
        <v>1</v>
      </c>
      <c r="H877" s="3">
        <v>1240</v>
      </c>
      <c r="I877" s="3">
        <v>1240</v>
      </c>
      <c r="J877" t="s">
        <v>76</v>
      </c>
      <c r="K877" t="s">
        <v>83</v>
      </c>
      <c r="L877" s="3">
        <f>SUM(SalesData3[Sales Amount (PKR)])</f>
        <v>11946830</v>
      </c>
    </row>
    <row r="878" spans="1:12" ht="14.25" customHeight="1" x14ac:dyDescent="0.45">
      <c r="A878" t="s">
        <v>1176</v>
      </c>
      <c r="B878" s="2" t="s">
        <v>791</v>
      </c>
      <c r="C878" t="s">
        <v>96</v>
      </c>
      <c r="D878" t="s">
        <v>472</v>
      </c>
      <c r="E878" t="s">
        <v>557</v>
      </c>
      <c r="F878" t="s">
        <v>81</v>
      </c>
      <c r="G878">
        <v>1</v>
      </c>
      <c r="H878" s="3">
        <v>1230</v>
      </c>
      <c r="I878" s="3">
        <v>1230</v>
      </c>
      <c r="J878" t="s">
        <v>82</v>
      </c>
      <c r="K878" t="s">
        <v>83</v>
      </c>
      <c r="L878" s="3">
        <f>SUM(SalesData3[Sales Amount (PKR)])</f>
        <v>11946830</v>
      </c>
    </row>
    <row r="879" spans="1:12" ht="14.25" customHeight="1" x14ac:dyDescent="0.45">
      <c r="A879" t="s">
        <v>1177</v>
      </c>
      <c r="B879" s="2" t="s">
        <v>256</v>
      </c>
      <c r="C879" t="s">
        <v>100</v>
      </c>
      <c r="D879" t="s">
        <v>472</v>
      </c>
      <c r="E879" t="s">
        <v>557</v>
      </c>
      <c r="F879" t="s">
        <v>97</v>
      </c>
      <c r="G879">
        <v>1</v>
      </c>
      <c r="H879" s="3">
        <v>1230</v>
      </c>
      <c r="I879" s="3">
        <v>1230</v>
      </c>
      <c r="J879" t="s">
        <v>76</v>
      </c>
      <c r="K879" t="s">
        <v>77</v>
      </c>
      <c r="L879" s="3">
        <f>SUM(SalesData3[Sales Amount (PKR)])</f>
        <v>11946830</v>
      </c>
    </row>
    <row r="880" spans="1:12" ht="14.25" customHeight="1" x14ac:dyDescent="0.45">
      <c r="A880" t="s">
        <v>1178</v>
      </c>
      <c r="B880" s="2" t="s">
        <v>350</v>
      </c>
      <c r="C880" t="s">
        <v>80</v>
      </c>
      <c r="D880" t="s">
        <v>472</v>
      </c>
      <c r="E880" t="s">
        <v>557</v>
      </c>
      <c r="F880" t="s">
        <v>140</v>
      </c>
      <c r="G880">
        <v>1</v>
      </c>
      <c r="H880" s="3">
        <v>1230</v>
      </c>
      <c r="I880" s="3">
        <v>1230</v>
      </c>
      <c r="J880" t="s">
        <v>82</v>
      </c>
      <c r="K880" t="s">
        <v>77</v>
      </c>
      <c r="L880" s="3">
        <f>SUM(SalesData3[Sales Amount (PKR)])</f>
        <v>11946830</v>
      </c>
    </row>
    <row r="881" spans="1:12" ht="14.25" customHeight="1" x14ac:dyDescent="0.45">
      <c r="A881" t="s">
        <v>1179</v>
      </c>
      <c r="B881" s="2" t="s">
        <v>571</v>
      </c>
      <c r="C881" t="s">
        <v>100</v>
      </c>
      <c r="D881" t="s">
        <v>472</v>
      </c>
      <c r="E881" t="s">
        <v>557</v>
      </c>
      <c r="F881" t="s">
        <v>123</v>
      </c>
      <c r="G881">
        <v>1</v>
      </c>
      <c r="H881" s="3">
        <v>1230</v>
      </c>
      <c r="I881" s="3">
        <v>1230</v>
      </c>
      <c r="J881" t="s">
        <v>76</v>
      </c>
      <c r="K881" t="s">
        <v>83</v>
      </c>
      <c r="L881" s="3">
        <f>SUM(SalesData3[Sales Amount (PKR)])</f>
        <v>11946830</v>
      </c>
    </row>
    <row r="882" spans="1:12" ht="14.25" customHeight="1" x14ac:dyDescent="0.45">
      <c r="A882" t="s">
        <v>1180</v>
      </c>
      <c r="B882" s="2" t="s">
        <v>393</v>
      </c>
      <c r="C882" t="s">
        <v>72</v>
      </c>
      <c r="D882" t="s">
        <v>472</v>
      </c>
      <c r="E882" t="s">
        <v>557</v>
      </c>
      <c r="F882" t="s">
        <v>90</v>
      </c>
      <c r="G882">
        <v>1</v>
      </c>
      <c r="H882" s="3">
        <v>1230</v>
      </c>
      <c r="I882" s="3">
        <v>1230</v>
      </c>
      <c r="J882" t="s">
        <v>76</v>
      </c>
      <c r="K882" t="s">
        <v>77</v>
      </c>
      <c r="L882" s="3">
        <f>SUM(SalesData3[Sales Amount (PKR)])</f>
        <v>11946830</v>
      </c>
    </row>
    <row r="883" spans="1:12" ht="14.25" customHeight="1" x14ac:dyDescent="0.45">
      <c r="A883" t="s">
        <v>1181</v>
      </c>
      <c r="B883" s="2" t="s">
        <v>314</v>
      </c>
      <c r="C883" t="s">
        <v>89</v>
      </c>
      <c r="D883" t="s">
        <v>472</v>
      </c>
      <c r="E883" t="s">
        <v>557</v>
      </c>
      <c r="F883" t="s">
        <v>117</v>
      </c>
      <c r="G883">
        <v>1</v>
      </c>
      <c r="H883" s="3">
        <v>1230</v>
      </c>
      <c r="I883" s="3">
        <v>1230</v>
      </c>
      <c r="J883" t="s">
        <v>82</v>
      </c>
      <c r="K883" t="s">
        <v>77</v>
      </c>
      <c r="L883" s="3">
        <f>SUM(SalesData3[Sales Amount (PKR)])</f>
        <v>11946830</v>
      </c>
    </row>
    <row r="884" spans="1:12" ht="14.25" customHeight="1" x14ac:dyDescent="0.45">
      <c r="A884" t="s">
        <v>1182</v>
      </c>
      <c r="B884" s="2" t="s">
        <v>817</v>
      </c>
      <c r="C884" t="s">
        <v>72</v>
      </c>
      <c r="D884" t="s">
        <v>472</v>
      </c>
      <c r="E884" t="s">
        <v>557</v>
      </c>
      <c r="F884" t="s">
        <v>117</v>
      </c>
      <c r="G884">
        <v>1</v>
      </c>
      <c r="H884" s="3">
        <v>1230</v>
      </c>
      <c r="I884" s="3">
        <v>1230</v>
      </c>
      <c r="J884" t="s">
        <v>76</v>
      </c>
      <c r="K884" t="s">
        <v>77</v>
      </c>
      <c r="L884" s="3">
        <f>SUM(SalesData3[Sales Amount (PKR)])</f>
        <v>11946830</v>
      </c>
    </row>
    <row r="885" spans="1:12" ht="14.25" customHeight="1" x14ac:dyDescent="0.45">
      <c r="A885" t="s">
        <v>1183</v>
      </c>
      <c r="B885" s="2" t="s">
        <v>919</v>
      </c>
      <c r="C885" t="s">
        <v>72</v>
      </c>
      <c r="D885" t="s">
        <v>472</v>
      </c>
      <c r="E885" t="s">
        <v>557</v>
      </c>
      <c r="F885" t="s">
        <v>90</v>
      </c>
      <c r="G885">
        <v>1</v>
      </c>
      <c r="H885" s="3">
        <v>1220</v>
      </c>
      <c r="I885" s="3">
        <v>1220</v>
      </c>
      <c r="J885" t="s">
        <v>76</v>
      </c>
      <c r="K885" t="s">
        <v>83</v>
      </c>
      <c r="L885" s="3">
        <f>SUM(SalesData3[Sales Amount (PKR)])</f>
        <v>11946830</v>
      </c>
    </row>
    <row r="886" spans="1:12" ht="14.25" customHeight="1" x14ac:dyDescent="0.45">
      <c r="A886" t="s">
        <v>1184</v>
      </c>
      <c r="B886" s="2" t="s">
        <v>522</v>
      </c>
      <c r="C886" t="s">
        <v>96</v>
      </c>
      <c r="D886" t="s">
        <v>472</v>
      </c>
      <c r="E886" t="s">
        <v>557</v>
      </c>
      <c r="F886" t="s">
        <v>90</v>
      </c>
      <c r="G886">
        <v>1</v>
      </c>
      <c r="H886" s="3">
        <v>1220</v>
      </c>
      <c r="I886" s="3">
        <v>1220</v>
      </c>
      <c r="J886" t="s">
        <v>76</v>
      </c>
      <c r="K886" t="s">
        <v>77</v>
      </c>
      <c r="L886" s="3">
        <f>SUM(SalesData3[Sales Amount (PKR)])</f>
        <v>11946830</v>
      </c>
    </row>
    <row r="887" spans="1:12" ht="14.25" customHeight="1" x14ac:dyDescent="0.45">
      <c r="A887" t="s">
        <v>1185</v>
      </c>
      <c r="B887" s="2" t="s">
        <v>591</v>
      </c>
      <c r="C887" t="s">
        <v>96</v>
      </c>
      <c r="D887" t="s">
        <v>472</v>
      </c>
      <c r="E887" t="s">
        <v>557</v>
      </c>
      <c r="F887" t="s">
        <v>75</v>
      </c>
      <c r="G887">
        <v>1</v>
      </c>
      <c r="H887" s="3">
        <v>1220</v>
      </c>
      <c r="I887" s="3">
        <v>1220</v>
      </c>
      <c r="J887" t="s">
        <v>76</v>
      </c>
      <c r="K887" t="s">
        <v>83</v>
      </c>
      <c r="L887" s="3">
        <f>SUM(SalesData3[Sales Amount (PKR)])</f>
        <v>11946830</v>
      </c>
    </row>
    <row r="888" spans="1:12" ht="14.25" customHeight="1" x14ac:dyDescent="0.45">
      <c r="A888" t="s">
        <v>1186</v>
      </c>
      <c r="B888" s="2" t="s">
        <v>467</v>
      </c>
      <c r="C888" t="s">
        <v>96</v>
      </c>
      <c r="D888" t="s">
        <v>472</v>
      </c>
      <c r="E888" t="s">
        <v>557</v>
      </c>
      <c r="F888" t="s">
        <v>86</v>
      </c>
      <c r="G888">
        <v>1</v>
      </c>
      <c r="H888" s="3">
        <v>1220</v>
      </c>
      <c r="I888" s="3">
        <v>1220</v>
      </c>
      <c r="J888" t="s">
        <v>82</v>
      </c>
      <c r="K888" t="s">
        <v>83</v>
      </c>
      <c r="L888" s="3">
        <f>SUM(SalesData3[Sales Amount (PKR)])</f>
        <v>11946830</v>
      </c>
    </row>
    <row r="889" spans="1:12" ht="14.25" customHeight="1" x14ac:dyDescent="0.45">
      <c r="A889" t="s">
        <v>1187</v>
      </c>
      <c r="B889" s="2" t="s">
        <v>213</v>
      </c>
      <c r="C889" t="s">
        <v>96</v>
      </c>
      <c r="D889" t="s">
        <v>472</v>
      </c>
      <c r="E889" t="s">
        <v>557</v>
      </c>
      <c r="F889" t="s">
        <v>107</v>
      </c>
      <c r="G889">
        <v>1</v>
      </c>
      <c r="H889" s="3">
        <v>1220</v>
      </c>
      <c r="I889" s="3">
        <v>1220</v>
      </c>
      <c r="J889" t="s">
        <v>76</v>
      </c>
      <c r="K889" t="s">
        <v>83</v>
      </c>
      <c r="L889" s="3">
        <f>SUM(SalesData3[Sales Amount (PKR)])</f>
        <v>11946830</v>
      </c>
    </row>
    <row r="890" spans="1:12" ht="14.25" customHeight="1" x14ac:dyDescent="0.45">
      <c r="A890" t="s">
        <v>1188</v>
      </c>
      <c r="B890" s="2" t="s">
        <v>919</v>
      </c>
      <c r="C890" t="s">
        <v>96</v>
      </c>
      <c r="D890" t="s">
        <v>472</v>
      </c>
      <c r="E890" t="s">
        <v>557</v>
      </c>
      <c r="F890" t="s">
        <v>75</v>
      </c>
      <c r="G890">
        <v>1</v>
      </c>
      <c r="H890" s="3">
        <v>1220</v>
      </c>
      <c r="I890" s="3">
        <v>1220</v>
      </c>
      <c r="J890" t="s">
        <v>82</v>
      </c>
      <c r="K890" t="s">
        <v>93</v>
      </c>
      <c r="L890" s="3">
        <f>SUM(SalesData3[Sales Amount (PKR)])</f>
        <v>11946830</v>
      </c>
    </row>
    <row r="891" spans="1:12" ht="14.25" customHeight="1" x14ac:dyDescent="0.45">
      <c r="A891" t="s">
        <v>1189</v>
      </c>
      <c r="B891" s="2" t="s">
        <v>122</v>
      </c>
      <c r="C891" t="s">
        <v>100</v>
      </c>
      <c r="D891" t="s">
        <v>472</v>
      </c>
      <c r="E891" t="s">
        <v>557</v>
      </c>
      <c r="F891" t="s">
        <v>90</v>
      </c>
      <c r="G891">
        <v>1</v>
      </c>
      <c r="H891" s="3">
        <v>1220</v>
      </c>
      <c r="I891" s="3">
        <v>1220</v>
      </c>
      <c r="J891" t="s">
        <v>76</v>
      </c>
      <c r="K891" t="s">
        <v>83</v>
      </c>
      <c r="L891" s="3">
        <f>SUM(SalesData3[Sales Amount (PKR)])</f>
        <v>11946830</v>
      </c>
    </row>
    <row r="892" spans="1:12" ht="14.25" customHeight="1" x14ac:dyDescent="0.45">
      <c r="A892" t="s">
        <v>1190</v>
      </c>
      <c r="B892" s="2" t="s">
        <v>177</v>
      </c>
      <c r="C892" t="s">
        <v>89</v>
      </c>
      <c r="D892" t="s">
        <v>472</v>
      </c>
      <c r="E892" t="s">
        <v>557</v>
      </c>
      <c r="F892" t="s">
        <v>90</v>
      </c>
      <c r="G892">
        <v>1</v>
      </c>
      <c r="H892" s="3">
        <v>1220</v>
      </c>
      <c r="I892" s="3">
        <v>1220</v>
      </c>
      <c r="J892" t="s">
        <v>76</v>
      </c>
      <c r="K892" t="s">
        <v>77</v>
      </c>
      <c r="L892" s="3">
        <f>SUM(SalesData3[Sales Amount (PKR)])</f>
        <v>11946830</v>
      </c>
    </row>
    <row r="893" spans="1:12" ht="14.25" customHeight="1" x14ac:dyDescent="0.45">
      <c r="A893" t="s">
        <v>1191</v>
      </c>
      <c r="B893" s="2" t="s">
        <v>597</v>
      </c>
      <c r="C893" t="s">
        <v>89</v>
      </c>
      <c r="D893" t="s">
        <v>472</v>
      </c>
      <c r="E893" t="s">
        <v>557</v>
      </c>
      <c r="F893" t="s">
        <v>123</v>
      </c>
      <c r="G893">
        <v>1</v>
      </c>
      <c r="H893" s="3">
        <v>1210</v>
      </c>
      <c r="I893" s="3">
        <v>1210</v>
      </c>
      <c r="J893" t="s">
        <v>82</v>
      </c>
      <c r="K893" t="s">
        <v>83</v>
      </c>
      <c r="L893" s="3">
        <f>SUM(SalesData3[Sales Amount (PKR)])</f>
        <v>11946830</v>
      </c>
    </row>
    <row r="894" spans="1:12" ht="14.25" customHeight="1" x14ac:dyDescent="0.45">
      <c r="A894" t="s">
        <v>1192</v>
      </c>
      <c r="B894" s="2" t="s">
        <v>658</v>
      </c>
      <c r="C894" t="s">
        <v>89</v>
      </c>
      <c r="D894" t="s">
        <v>472</v>
      </c>
      <c r="E894" t="s">
        <v>557</v>
      </c>
      <c r="F894" t="s">
        <v>81</v>
      </c>
      <c r="G894">
        <v>1</v>
      </c>
      <c r="H894" s="3">
        <v>1210</v>
      </c>
      <c r="I894" s="3">
        <v>1210</v>
      </c>
      <c r="J894" t="s">
        <v>76</v>
      </c>
      <c r="K894" t="s">
        <v>93</v>
      </c>
      <c r="L894" s="3">
        <f>SUM(SalesData3[Sales Amount (PKR)])</f>
        <v>11946830</v>
      </c>
    </row>
    <row r="895" spans="1:12" ht="14.25" customHeight="1" x14ac:dyDescent="0.45">
      <c r="A895" t="s">
        <v>1193</v>
      </c>
      <c r="B895" s="2" t="s">
        <v>166</v>
      </c>
      <c r="C895" t="s">
        <v>89</v>
      </c>
      <c r="D895" t="s">
        <v>472</v>
      </c>
      <c r="E895" t="s">
        <v>557</v>
      </c>
      <c r="F895" t="s">
        <v>97</v>
      </c>
      <c r="G895">
        <v>1</v>
      </c>
      <c r="H895" s="3">
        <v>1210</v>
      </c>
      <c r="I895" s="3">
        <v>1210</v>
      </c>
      <c r="J895" t="s">
        <v>76</v>
      </c>
      <c r="K895" t="s">
        <v>77</v>
      </c>
      <c r="L895" s="3">
        <f>SUM(SalesData3[Sales Amount (PKR)])</f>
        <v>11946830</v>
      </c>
    </row>
    <row r="896" spans="1:12" ht="14.25" customHeight="1" x14ac:dyDescent="0.45">
      <c r="A896" t="s">
        <v>1194</v>
      </c>
      <c r="B896" s="2" t="s">
        <v>617</v>
      </c>
      <c r="C896" t="s">
        <v>89</v>
      </c>
      <c r="D896" t="s">
        <v>472</v>
      </c>
      <c r="E896" t="s">
        <v>557</v>
      </c>
      <c r="F896" t="s">
        <v>90</v>
      </c>
      <c r="G896">
        <v>1</v>
      </c>
      <c r="H896" s="3">
        <v>1210</v>
      </c>
      <c r="I896" s="3">
        <v>1210</v>
      </c>
      <c r="J896" t="s">
        <v>82</v>
      </c>
      <c r="K896" t="s">
        <v>77</v>
      </c>
      <c r="L896" s="3">
        <f>SUM(SalesData3[Sales Amount (PKR)])</f>
        <v>11946830</v>
      </c>
    </row>
    <row r="897" spans="1:12" ht="14.25" customHeight="1" x14ac:dyDescent="0.45">
      <c r="A897" t="s">
        <v>1195</v>
      </c>
      <c r="B897" s="2" t="s">
        <v>632</v>
      </c>
      <c r="C897" t="s">
        <v>100</v>
      </c>
      <c r="D897" t="s">
        <v>472</v>
      </c>
      <c r="E897" t="s">
        <v>557</v>
      </c>
      <c r="F897" t="s">
        <v>131</v>
      </c>
      <c r="G897">
        <v>1</v>
      </c>
      <c r="H897" s="3">
        <v>1210</v>
      </c>
      <c r="I897" s="3">
        <v>1210</v>
      </c>
      <c r="J897" t="s">
        <v>82</v>
      </c>
      <c r="K897" t="s">
        <v>83</v>
      </c>
      <c r="L897" s="3">
        <f>SUM(SalesData3[Sales Amount (PKR)])</f>
        <v>11946830</v>
      </c>
    </row>
    <row r="898" spans="1:12" ht="14.25" customHeight="1" x14ac:dyDescent="0.45">
      <c r="A898" t="s">
        <v>1196</v>
      </c>
      <c r="B898" s="2" t="s">
        <v>607</v>
      </c>
      <c r="C898" t="s">
        <v>100</v>
      </c>
      <c r="D898" t="s">
        <v>472</v>
      </c>
      <c r="E898" t="s">
        <v>557</v>
      </c>
      <c r="F898" t="s">
        <v>75</v>
      </c>
      <c r="G898">
        <v>1</v>
      </c>
      <c r="H898" s="3">
        <v>1210</v>
      </c>
      <c r="I898" s="3">
        <v>1210</v>
      </c>
      <c r="J898" t="s">
        <v>82</v>
      </c>
      <c r="K898" t="s">
        <v>93</v>
      </c>
      <c r="L898" s="3">
        <f>SUM(SalesData3[Sales Amount (PKR)])</f>
        <v>11946830</v>
      </c>
    </row>
    <row r="899" spans="1:12" ht="14.25" customHeight="1" x14ac:dyDescent="0.45">
      <c r="A899" t="s">
        <v>1197</v>
      </c>
      <c r="B899" s="2" t="s">
        <v>843</v>
      </c>
      <c r="C899" t="s">
        <v>72</v>
      </c>
      <c r="D899" t="s">
        <v>472</v>
      </c>
      <c r="E899" t="s">
        <v>557</v>
      </c>
      <c r="F899" t="s">
        <v>140</v>
      </c>
      <c r="G899">
        <v>1</v>
      </c>
      <c r="H899" s="3">
        <v>1200</v>
      </c>
      <c r="I899" s="3">
        <v>1200</v>
      </c>
      <c r="J899" t="s">
        <v>82</v>
      </c>
      <c r="K899" t="s">
        <v>83</v>
      </c>
      <c r="L899" s="3">
        <f>SUM(SalesData3[Sales Amount (PKR)])</f>
        <v>11946830</v>
      </c>
    </row>
    <row r="900" spans="1:12" ht="14.25" customHeight="1" x14ac:dyDescent="0.45">
      <c r="A900" t="s">
        <v>1198</v>
      </c>
      <c r="B900" s="2" t="s">
        <v>137</v>
      </c>
      <c r="C900" t="s">
        <v>72</v>
      </c>
      <c r="D900" t="s">
        <v>472</v>
      </c>
      <c r="E900" t="s">
        <v>557</v>
      </c>
      <c r="F900" t="s">
        <v>140</v>
      </c>
      <c r="G900">
        <v>1</v>
      </c>
      <c r="H900" s="3">
        <v>1200</v>
      </c>
      <c r="I900" s="3">
        <v>1200</v>
      </c>
      <c r="J900" t="s">
        <v>76</v>
      </c>
      <c r="K900" t="s">
        <v>77</v>
      </c>
      <c r="L900" s="3">
        <f>SUM(SalesData3[Sales Amount (PKR)])</f>
        <v>11946830</v>
      </c>
    </row>
    <row r="901" spans="1:12" ht="14.25" customHeight="1" x14ac:dyDescent="0.45">
      <c r="A901" t="s">
        <v>1199</v>
      </c>
      <c r="B901" s="2" t="s">
        <v>693</v>
      </c>
      <c r="C901" t="s">
        <v>80</v>
      </c>
      <c r="D901" t="s">
        <v>472</v>
      </c>
      <c r="E901" t="s">
        <v>557</v>
      </c>
      <c r="F901" t="s">
        <v>117</v>
      </c>
      <c r="G901">
        <v>1</v>
      </c>
      <c r="H901" s="3">
        <v>1200</v>
      </c>
      <c r="I901" s="3">
        <v>1200</v>
      </c>
      <c r="J901" t="s">
        <v>82</v>
      </c>
      <c r="K901" t="s">
        <v>83</v>
      </c>
      <c r="L901" s="3">
        <f>SUM(SalesData3[Sales Amount (PKR)])</f>
        <v>11946830</v>
      </c>
    </row>
    <row r="902" spans="1:12" ht="14.25" customHeight="1" x14ac:dyDescent="0.45">
      <c r="A902" t="s">
        <v>1200</v>
      </c>
      <c r="B902" s="2" t="s">
        <v>85</v>
      </c>
      <c r="C902" t="s">
        <v>100</v>
      </c>
      <c r="D902" t="s">
        <v>472</v>
      </c>
      <c r="E902" t="s">
        <v>557</v>
      </c>
      <c r="F902" t="s">
        <v>123</v>
      </c>
      <c r="G902">
        <v>1</v>
      </c>
      <c r="H902" s="3">
        <v>1200</v>
      </c>
      <c r="I902" s="3">
        <v>1200</v>
      </c>
      <c r="J902" t="s">
        <v>76</v>
      </c>
      <c r="K902" t="s">
        <v>77</v>
      </c>
      <c r="L902" s="3">
        <f>SUM(SalesData3[Sales Amount (PKR)])</f>
        <v>11946830</v>
      </c>
    </row>
    <row r="903" spans="1:12" ht="14.25" customHeight="1" x14ac:dyDescent="0.45">
      <c r="A903" t="s">
        <v>1201</v>
      </c>
      <c r="B903" s="2" t="s">
        <v>389</v>
      </c>
      <c r="C903" t="s">
        <v>96</v>
      </c>
      <c r="D903" t="s">
        <v>472</v>
      </c>
      <c r="E903" t="s">
        <v>557</v>
      </c>
      <c r="F903" t="s">
        <v>140</v>
      </c>
      <c r="G903">
        <v>1</v>
      </c>
      <c r="H903" s="3">
        <v>1200</v>
      </c>
      <c r="I903" s="3">
        <v>1200</v>
      </c>
      <c r="J903" t="s">
        <v>82</v>
      </c>
      <c r="K903" t="s">
        <v>93</v>
      </c>
      <c r="L903" s="3">
        <f>SUM(SalesData3[Sales Amount (PKR)])</f>
        <v>11946830</v>
      </c>
    </row>
    <row r="904" spans="1:12" ht="14.25" customHeight="1" x14ac:dyDescent="0.45">
      <c r="A904" t="s">
        <v>1202</v>
      </c>
      <c r="B904" s="2" t="s">
        <v>175</v>
      </c>
      <c r="C904" t="s">
        <v>96</v>
      </c>
      <c r="D904" t="s">
        <v>472</v>
      </c>
      <c r="E904" t="s">
        <v>557</v>
      </c>
      <c r="F904" t="s">
        <v>140</v>
      </c>
      <c r="G904">
        <v>1</v>
      </c>
      <c r="H904" s="3">
        <v>1200</v>
      </c>
      <c r="I904" s="3">
        <v>1200</v>
      </c>
      <c r="J904" t="s">
        <v>76</v>
      </c>
      <c r="K904" t="s">
        <v>93</v>
      </c>
      <c r="L904" s="3">
        <f>SUM(SalesData3[Sales Amount (PKR)])</f>
        <v>11946830</v>
      </c>
    </row>
    <row r="905" spans="1:12" ht="14.25" customHeight="1" x14ac:dyDescent="0.45">
      <c r="A905" t="s">
        <v>1203</v>
      </c>
      <c r="B905" s="2" t="s">
        <v>627</v>
      </c>
      <c r="C905" t="s">
        <v>89</v>
      </c>
      <c r="D905" t="s">
        <v>472</v>
      </c>
      <c r="E905" t="s">
        <v>557</v>
      </c>
      <c r="F905" t="s">
        <v>117</v>
      </c>
      <c r="G905">
        <v>1</v>
      </c>
      <c r="H905" s="3">
        <v>1200</v>
      </c>
      <c r="I905" s="3">
        <v>1200</v>
      </c>
      <c r="J905" t="s">
        <v>76</v>
      </c>
      <c r="K905" t="s">
        <v>77</v>
      </c>
      <c r="L905" s="3">
        <f>SUM(SalesData3[Sales Amount (PKR)])</f>
        <v>11946830</v>
      </c>
    </row>
    <row r="906" spans="1:12" ht="14.25" customHeight="1" x14ac:dyDescent="0.45">
      <c r="A906" t="s">
        <v>1204</v>
      </c>
      <c r="B906" s="2" t="s">
        <v>194</v>
      </c>
      <c r="C906" t="s">
        <v>89</v>
      </c>
      <c r="D906" t="s">
        <v>472</v>
      </c>
      <c r="E906" t="s">
        <v>557</v>
      </c>
      <c r="F906" t="s">
        <v>107</v>
      </c>
      <c r="G906">
        <v>1</v>
      </c>
      <c r="H906" s="3">
        <v>1200</v>
      </c>
      <c r="I906" s="3">
        <v>1200</v>
      </c>
      <c r="J906" t="s">
        <v>76</v>
      </c>
      <c r="K906" t="s">
        <v>83</v>
      </c>
      <c r="L906" s="3">
        <f>SUM(SalesData3[Sales Amount (PKR)])</f>
        <v>11946830</v>
      </c>
    </row>
    <row r="907" spans="1:12" ht="14.25" customHeight="1" x14ac:dyDescent="0.45">
      <c r="A907" t="s">
        <v>1205</v>
      </c>
      <c r="B907" s="2" t="s">
        <v>387</v>
      </c>
      <c r="C907" t="s">
        <v>96</v>
      </c>
      <c r="D907" t="s">
        <v>472</v>
      </c>
      <c r="E907" t="s">
        <v>557</v>
      </c>
      <c r="F907" t="s">
        <v>117</v>
      </c>
      <c r="G907">
        <v>1</v>
      </c>
      <c r="H907" s="3">
        <v>1190</v>
      </c>
      <c r="I907" s="3">
        <v>1190</v>
      </c>
      <c r="J907" t="s">
        <v>82</v>
      </c>
      <c r="K907" t="s">
        <v>93</v>
      </c>
      <c r="L907" s="3">
        <f>SUM(SalesData3[Sales Amount (PKR)])</f>
        <v>11946830</v>
      </c>
    </row>
    <row r="908" spans="1:12" ht="14.25" customHeight="1" x14ac:dyDescent="0.45">
      <c r="A908" t="s">
        <v>1206</v>
      </c>
      <c r="B908" s="2" t="s">
        <v>583</v>
      </c>
      <c r="C908" t="s">
        <v>100</v>
      </c>
      <c r="D908" t="s">
        <v>472</v>
      </c>
      <c r="E908" t="s">
        <v>557</v>
      </c>
      <c r="F908" t="s">
        <v>86</v>
      </c>
      <c r="G908">
        <v>1</v>
      </c>
      <c r="H908" s="3">
        <v>1190</v>
      </c>
      <c r="I908" s="3">
        <v>1190</v>
      </c>
      <c r="J908" t="s">
        <v>82</v>
      </c>
      <c r="K908" t="s">
        <v>83</v>
      </c>
      <c r="L908" s="3">
        <f>SUM(SalesData3[Sales Amount (PKR)])</f>
        <v>11946830</v>
      </c>
    </row>
    <row r="909" spans="1:12" ht="14.25" customHeight="1" x14ac:dyDescent="0.45">
      <c r="A909" t="s">
        <v>1207</v>
      </c>
      <c r="B909" s="2" t="s">
        <v>593</v>
      </c>
      <c r="C909" t="s">
        <v>80</v>
      </c>
      <c r="D909" t="s">
        <v>472</v>
      </c>
      <c r="E909" t="s">
        <v>557</v>
      </c>
      <c r="F909" t="s">
        <v>107</v>
      </c>
      <c r="G909">
        <v>1</v>
      </c>
      <c r="H909" s="3">
        <v>1190</v>
      </c>
      <c r="I909" s="3">
        <v>1190</v>
      </c>
      <c r="J909" t="s">
        <v>76</v>
      </c>
      <c r="K909" t="s">
        <v>93</v>
      </c>
      <c r="L909" s="3">
        <f>SUM(SalesData3[Sales Amount (PKR)])</f>
        <v>11946830</v>
      </c>
    </row>
    <row r="910" spans="1:12" ht="14.25" customHeight="1" x14ac:dyDescent="0.45">
      <c r="A910" t="s">
        <v>1208</v>
      </c>
      <c r="B910" s="2" t="s">
        <v>502</v>
      </c>
      <c r="C910" t="s">
        <v>100</v>
      </c>
      <c r="D910" t="s">
        <v>472</v>
      </c>
      <c r="E910" t="s">
        <v>557</v>
      </c>
      <c r="F910" t="s">
        <v>117</v>
      </c>
      <c r="G910">
        <v>1</v>
      </c>
      <c r="H910" s="3">
        <v>1190</v>
      </c>
      <c r="I910" s="3">
        <v>1190</v>
      </c>
      <c r="J910" t="s">
        <v>76</v>
      </c>
      <c r="K910" t="s">
        <v>77</v>
      </c>
      <c r="L910" s="3">
        <f>SUM(SalesData3[Sales Amount (PKR)])</f>
        <v>11946830</v>
      </c>
    </row>
    <row r="911" spans="1:12" ht="14.25" customHeight="1" x14ac:dyDescent="0.45">
      <c r="A911" t="s">
        <v>1209</v>
      </c>
      <c r="B911" s="2" t="s">
        <v>204</v>
      </c>
      <c r="C911" t="s">
        <v>96</v>
      </c>
      <c r="D911" t="s">
        <v>472</v>
      </c>
      <c r="E911" t="s">
        <v>557</v>
      </c>
      <c r="F911" t="s">
        <v>86</v>
      </c>
      <c r="G911">
        <v>1</v>
      </c>
      <c r="H911" s="3">
        <v>1180</v>
      </c>
      <c r="I911" s="3">
        <v>1180</v>
      </c>
      <c r="J911" t="s">
        <v>82</v>
      </c>
      <c r="K911" t="s">
        <v>77</v>
      </c>
      <c r="L911" s="3">
        <f>SUM(SalesData3[Sales Amount (PKR)])</f>
        <v>11946830</v>
      </c>
    </row>
    <row r="912" spans="1:12" ht="14.25" customHeight="1" x14ac:dyDescent="0.45">
      <c r="A912" t="s">
        <v>1210</v>
      </c>
      <c r="B912" s="2" t="s">
        <v>208</v>
      </c>
      <c r="C912" t="s">
        <v>89</v>
      </c>
      <c r="D912" t="s">
        <v>472</v>
      </c>
      <c r="E912" t="s">
        <v>557</v>
      </c>
      <c r="F912" t="s">
        <v>107</v>
      </c>
      <c r="G912">
        <v>1</v>
      </c>
      <c r="H912" s="3">
        <v>1170</v>
      </c>
      <c r="I912" s="3">
        <v>1170</v>
      </c>
      <c r="J912" t="s">
        <v>76</v>
      </c>
      <c r="K912" t="s">
        <v>83</v>
      </c>
      <c r="L912" s="3">
        <f>SUM(SalesData3[Sales Amount (PKR)])</f>
        <v>11946830</v>
      </c>
    </row>
    <row r="913" spans="1:12" ht="14.25" customHeight="1" x14ac:dyDescent="0.45">
      <c r="A913" t="s">
        <v>1211</v>
      </c>
      <c r="B913" s="2" t="s">
        <v>135</v>
      </c>
      <c r="C913" t="s">
        <v>100</v>
      </c>
      <c r="D913" t="s">
        <v>472</v>
      </c>
      <c r="E913" t="s">
        <v>557</v>
      </c>
      <c r="F913" t="s">
        <v>81</v>
      </c>
      <c r="G913">
        <v>1</v>
      </c>
      <c r="H913" s="3">
        <v>1170</v>
      </c>
      <c r="I913" s="3">
        <v>1170</v>
      </c>
      <c r="J913" t="s">
        <v>76</v>
      </c>
      <c r="K913" t="s">
        <v>83</v>
      </c>
      <c r="L913" s="3">
        <f>SUM(SalesData3[Sales Amount (PKR)])</f>
        <v>11946830</v>
      </c>
    </row>
    <row r="914" spans="1:12" ht="14.25" customHeight="1" x14ac:dyDescent="0.45">
      <c r="A914" t="s">
        <v>1212</v>
      </c>
      <c r="B914" s="2" t="s">
        <v>227</v>
      </c>
      <c r="C914" t="s">
        <v>96</v>
      </c>
      <c r="D914" t="s">
        <v>472</v>
      </c>
      <c r="E914" t="s">
        <v>557</v>
      </c>
      <c r="F914" t="s">
        <v>123</v>
      </c>
      <c r="G914">
        <v>1</v>
      </c>
      <c r="H914" s="3">
        <v>1170</v>
      </c>
      <c r="I914" s="3">
        <v>1170</v>
      </c>
      <c r="J914" t="s">
        <v>76</v>
      </c>
      <c r="K914" t="s">
        <v>83</v>
      </c>
      <c r="L914" s="3">
        <f>SUM(SalesData3[Sales Amount (PKR)])</f>
        <v>11946830</v>
      </c>
    </row>
    <row r="915" spans="1:12" ht="14.25" customHeight="1" x14ac:dyDescent="0.45">
      <c r="A915" t="s">
        <v>1213</v>
      </c>
      <c r="B915" s="2" t="s">
        <v>562</v>
      </c>
      <c r="C915" t="s">
        <v>96</v>
      </c>
      <c r="D915" t="s">
        <v>472</v>
      </c>
      <c r="E915" t="s">
        <v>557</v>
      </c>
      <c r="F915" t="s">
        <v>86</v>
      </c>
      <c r="G915">
        <v>1</v>
      </c>
      <c r="H915" s="3">
        <v>1170</v>
      </c>
      <c r="I915" s="3">
        <v>1170</v>
      </c>
      <c r="J915" t="s">
        <v>76</v>
      </c>
      <c r="K915" t="s">
        <v>77</v>
      </c>
      <c r="L915" s="3">
        <f>SUM(SalesData3[Sales Amount (PKR)])</f>
        <v>11946830</v>
      </c>
    </row>
    <row r="916" spans="1:12" ht="14.25" customHeight="1" x14ac:dyDescent="0.45">
      <c r="A916" t="s">
        <v>1214</v>
      </c>
      <c r="B916" s="2" t="s">
        <v>326</v>
      </c>
      <c r="C916" t="s">
        <v>80</v>
      </c>
      <c r="D916" t="s">
        <v>472</v>
      </c>
      <c r="E916" t="s">
        <v>557</v>
      </c>
      <c r="F916" t="s">
        <v>123</v>
      </c>
      <c r="G916">
        <v>1</v>
      </c>
      <c r="H916" s="3">
        <v>1170</v>
      </c>
      <c r="I916" s="3">
        <v>1170</v>
      </c>
      <c r="J916" t="s">
        <v>76</v>
      </c>
      <c r="K916" t="s">
        <v>93</v>
      </c>
      <c r="L916" s="3">
        <f>SUM(SalesData3[Sales Amount (PKR)])</f>
        <v>11946830</v>
      </c>
    </row>
    <row r="917" spans="1:12" ht="14.25" customHeight="1" x14ac:dyDescent="0.45">
      <c r="A917" t="s">
        <v>1215</v>
      </c>
      <c r="B917" s="2" t="s">
        <v>148</v>
      </c>
      <c r="C917" t="s">
        <v>96</v>
      </c>
      <c r="D917" t="s">
        <v>472</v>
      </c>
      <c r="E917" t="s">
        <v>557</v>
      </c>
      <c r="F917" t="s">
        <v>131</v>
      </c>
      <c r="G917">
        <v>1</v>
      </c>
      <c r="H917" s="3">
        <v>1170</v>
      </c>
      <c r="I917" s="3">
        <v>1170</v>
      </c>
      <c r="J917" t="s">
        <v>76</v>
      </c>
      <c r="K917" t="s">
        <v>77</v>
      </c>
      <c r="L917" s="3">
        <f>SUM(SalesData3[Sales Amount (PKR)])</f>
        <v>11946830</v>
      </c>
    </row>
    <row r="918" spans="1:12" ht="14.25" customHeight="1" x14ac:dyDescent="0.45">
      <c r="A918" t="s">
        <v>1216</v>
      </c>
      <c r="B918" s="2" t="s">
        <v>670</v>
      </c>
      <c r="C918" t="s">
        <v>80</v>
      </c>
      <c r="D918" t="s">
        <v>472</v>
      </c>
      <c r="E918" t="s">
        <v>557</v>
      </c>
      <c r="F918" t="s">
        <v>123</v>
      </c>
      <c r="G918">
        <v>1</v>
      </c>
      <c r="H918" s="3">
        <v>1170</v>
      </c>
      <c r="I918" s="3">
        <v>1170</v>
      </c>
      <c r="J918" t="s">
        <v>76</v>
      </c>
      <c r="K918" t="s">
        <v>77</v>
      </c>
      <c r="L918" s="3">
        <f>SUM(SalesData3[Sales Amount (PKR)])</f>
        <v>11946830</v>
      </c>
    </row>
    <row r="919" spans="1:12" ht="14.25" customHeight="1" x14ac:dyDescent="0.45">
      <c r="A919" t="s">
        <v>1217</v>
      </c>
      <c r="B919" s="2" t="s">
        <v>115</v>
      </c>
      <c r="C919" t="s">
        <v>96</v>
      </c>
      <c r="D919" t="s">
        <v>472</v>
      </c>
      <c r="E919" t="s">
        <v>557</v>
      </c>
      <c r="F919" t="s">
        <v>131</v>
      </c>
      <c r="G919">
        <v>1</v>
      </c>
      <c r="H919" s="3">
        <v>1160</v>
      </c>
      <c r="I919" s="3">
        <v>1160</v>
      </c>
      <c r="J919" t="s">
        <v>76</v>
      </c>
      <c r="K919" t="s">
        <v>83</v>
      </c>
      <c r="L919" s="3">
        <f>SUM(SalesData3[Sales Amount (PKR)])</f>
        <v>11946830</v>
      </c>
    </row>
    <row r="920" spans="1:12" ht="14.25" customHeight="1" x14ac:dyDescent="0.45">
      <c r="A920" t="s">
        <v>1218</v>
      </c>
      <c r="B920" s="2" t="s">
        <v>354</v>
      </c>
      <c r="C920" t="s">
        <v>96</v>
      </c>
      <c r="D920" t="s">
        <v>472</v>
      </c>
      <c r="E920" t="s">
        <v>557</v>
      </c>
      <c r="F920" t="s">
        <v>123</v>
      </c>
      <c r="G920">
        <v>1</v>
      </c>
      <c r="H920" s="3">
        <v>1160</v>
      </c>
      <c r="I920" s="3">
        <v>1160</v>
      </c>
      <c r="J920" t="s">
        <v>76</v>
      </c>
      <c r="K920" t="s">
        <v>77</v>
      </c>
      <c r="L920" s="3">
        <f>SUM(SalesData3[Sales Amount (PKR)])</f>
        <v>11946830</v>
      </c>
    </row>
    <row r="921" spans="1:12" ht="14.25" customHeight="1" x14ac:dyDescent="0.45">
      <c r="A921" t="s">
        <v>1219</v>
      </c>
      <c r="B921" s="2" t="s">
        <v>369</v>
      </c>
      <c r="C921" t="s">
        <v>89</v>
      </c>
      <c r="D921" t="s">
        <v>472</v>
      </c>
      <c r="E921" t="s">
        <v>557</v>
      </c>
      <c r="F921" t="s">
        <v>107</v>
      </c>
      <c r="G921">
        <v>1</v>
      </c>
      <c r="H921" s="3">
        <v>1160</v>
      </c>
      <c r="I921" s="3">
        <v>1160</v>
      </c>
      <c r="J921" t="s">
        <v>76</v>
      </c>
      <c r="K921" t="s">
        <v>77</v>
      </c>
      <c r="L921" s="3">
        <f>SUM(SalesData3[Sales Amount (PKR)])</f>
        <v>11946830</v>
      </c>
    </row>
    <row r="922" spans="1:12" ht="14.25" customHeight="1" x14ac:dyDescent="0.45">
      <c r="A922" t="s">
        <v>1220</v>
      </c>
      <c r="B922" s="2" t="s">
        <v>387</v>
      </c>
      <c r="C922" t="s">
        <v>89</v>
      </c>
      <c r="D922" t="s">
        <v>472</v>
      </c>
      <c r="E922" t="s">
        <v>557</v>
      </c>
      <c r="F922" t="s">
        <v>123</v>
      </c>
      <c r="G922">
        <v>1</v>
      </c>
      <c r="H922" s="3">
        <v>1160</v>
      </c>
      <c r="I922" s="3">
        <v>1160</v>
      </c>
      <c r="J922" t="s">
        <v>76</v>
      </c>
      <c r="K922" t="s">
        <v>83</v>
      </c>
      <c r="L922" s="3">
        <f>SUM(SalesData3[Sales Amount (PKR)])</f>
        <v>11946830</v>
      </c>
    </row>
    <row r="923" spans="1:12" ht="14.25" customHeight="1" x14ac:dyDescent="0.45">
      <c r="A923" t="s">
        <v>1221</v>
      </c>
      <c r="B923" s="2" t="s">
        <v>412</v>
      </c>
      <c r="C923" t="s">
        <v>80</v>
      </c>
      <c r="D923" t="s">
        <v>472</v>
      </c>
      <c r="E923" t="s">
        <v>557</v>
      </c>
      <c r="F923" t="s">
        <v>107</v>
      </c>
      <c r="G923">
        <v>1</v>
      </c>
      <c r="H923" s="3">
        <v>1160</v>
      </c>
      <c r="I923" s="3">
        <v>1160</v>
      </c>
      <c r="J923" t="s">
        <v>82</v>
      </c>
      <c r="K923" t="s">
        <v>77</v>
      </c>
      <c r="L923" s="3">
        <f>SUM(SalesData3[Sales Amount (PKR)])</f>
        <v>11946830</v>
      </c>
    </row>
    <row r="924" spans="1:12" ht="14.25" customHeight="1" x14ac:dyDescent="0.45">
      <c r="A924" t="s">
        <v>1222</v>
      </c>
      <c r="B924" s="2" t="s">
        <v>869</v>
      </c>
      <c r="C924" t="s">
        <v>89</v>
      </c>
      <c r="D924" t="s">
        <v>472</v>
      </c>
      <c r="E924" t="s">
        <v>557</v>
      </c>
      <c r="F924" t="s">
        <v>90</v>
      </c>
      <c r="G924">
        <v>1</v>
      </c>
      <c r="H924" s="3">
        <v>1160</v>
      </c>
      <c r="I924" s="3">
        <v>1160</v>
      </c>
      <c r="J924" t="s">
        <v>82</v>
      </c>
      <c r="K924" t="s">
        <v>83</v>
      </c>
      <c r="L924" s="3">
        <f>SUM(SalesData3[Sales Amount (PKR)])</f>
        <v>11946830</v>
      </c>
    </row>
    <row r="925" spans="1:12" ht="14.25" customHeight="1" x14ac:dyDescent="0.45">
      <c r="A925" t="s">
        <v>1223</v>
      </c>
      <c r="B925" s="2" t="s">
        <v>125</v>
      </c>
      <c r="C925" t="s">
        <v>100</v>
      </c>
      <c r="D925" t="s">
        <v>472</v>
      </c>
      <c r="E925" t="s">
        <v>557</v>
      </c>
      <c r="F925" t="s">
        <v>75</v>
      </c>
      <c r="G925">
        <v>1</v>
      </c>
      <c r="H925" s="3">
        <v>1160</v>
      </c>
      <c r="I925" s="3">
        <v>1160</v>
      </c>
      <c r="J925" t="s">
        <v>82</v>
      </c>
      <c r="K925" t="s">
        <v>83</v>
      </c>
      <c r="L925" s="3">
        <f>SUM(SalesData3[Sales Amount (PKR)])</f>
        <v>11946830</v>
      </c>
    </row>
    <row r="926" spans="1:12" ht="14.25" customHeight="1" x14ac:dyDescent="0.45">
      <c r="A926" t="s">
        <v>1224</v>
      </c>
      <c r="B926" s="2" t="s">
        <v>552</v>
      </c>
      <c r="C926" t="s">
        <v>80</v>
      </c>
      <c r="D926" t="s">
        <v>472</v>
      </c>
      <c r="E926" t="s">
        <v>557</v>
      </c>
      <c r="F926" t="s">
        <v>97</v>
      </c>
      <c r="G926">
        <v>1</v>
      </c>
      <c r="H926" s="3">
        <v>1160</v>
      </c>
      <c r="I926" s="3">
        <v>1160</v>
      </c>
      <c r="J926" t="s">
        <v>82</v>
      </c>
      <c r="K926" t="s">
        <v>83</v>
      </c>
      <c r="L926" s="3">
        <f>SUM(SalesData3[Sales Amount (PKR)])</f>
        <v>11946830</v>
      </c>
    </row>
    <row r="927" spans="1:12" ht="14.25" customHeight="1" x14ac:dyDescent="0.45">
      <c r="A927" t="s">
        <v>1225</v>
      </c>
      <c r="B927" s="2" t="s">
        <v>278</v>
      </c>
      <c r="C927" t="s">
        <v>100</v>
      </c>
      <c r="D927" t="s">
        <v>472</v>
      </c>
      <c r="E927" t="s">
        <v>557</v>
      </c>
      <c r="F927" t="s">
        <v>107</v>
      </c>
      <c r="G927">
        <v>1</v>
      </c>
      <c r="H927" s="3">
        <v>1160</v>
      </c>
      <c r="I927" s="3">
        <v>1160</v>
      </c>
      <c r="J927" t="s">
        <v>76</v>
      </c>
      <c r="K927" t="s">
        <v>83</v>
      </c>
      <c r="L927" s="3">
        <f>SUM(SalesData3[Sales Amount (PKR)])</f>
        <v>11946830</v>
      </c>
    </row>
    <row r="928" spans="1:12" ht="14.25" customHeight="1" x14ac:dyDescent="0.45">
      <c r="A928" t="s">
        <v>1226</v>
      </c>
      <c r="B928" s="2" t="s">
        <v>106</v>
      </c>
      <c r="C928" t="s">
        <v>72</v>
      </c>
      <c r="D928" t="s">
        <v>472</v>
      </c>
      <c r="E928" t="s">
        <v>557</v>
      </c>
      <c r="F928" t="s">
        <v>131</v>
      </c>
      <c r="G928">
        <v>1</v>
      </c>
      <c r="H928" s="3">
        <v>1150</v>
      </c>
      <c r="I928" s="3">
        <v>1150</v>
      </c>
      <c r="J928" t="s">
        <v>76</v>
      </c>
      <c r="K928" t="s">
        <v>93</v>
      </c>
      <c r="L928" s="3">
        <f>SUM(SalesData3[Sales Amount (PKR)])</f>
        <v>11946830</v>
      </c>
    </row>
    <row r="929" spans="1:12" ht="14.25" customHeight="1" x14ac:dyDescent="0.45">
      <c r="A929" t="s">
        <v>1227</v>
      </c>
      <c r="B929" s="2" t="s">
        <v>99</v>
      </c>
      <c r="C929" t="s">
        <v>72</v>
      </c>
      <c r="D929" t="s">
        <v>472</v>
      </c>
      <c r="E929" t="s">
        <v>691</v>
      </c>
      <c r="F929" t="s">
        <v>117</v>
      </c>
      <c r="G929">
        <v>1</v>
      </c>
      <c r="H929" s="3">
        <v>990</v>
      </c>
      <c r="I929" s="3">
        <v>990</v>
      </c>
      <c r="J929" t="s">
        <v>82</v>
      </c>
      <c r="K929" t="s">
        <v>83</v>
      </c>
      <c r="L929" s="3">
        <f>SUM(SalesData3[Sales Amount (PKR)])</f>
        <v>11946830</v>
      </c>
    </row>
    <row r="930" spans="1:12" ht="14.25" customHeight="1" x14ac:dyDescent="0.45">
      <c r="A930" t="s">
        <v>1228</v>
      </c>
      <c r="B930" s="2" t="s">
        <v>122</v>
      </c>
      <c r="C930" t="s">
        <v>100</v>
      </c>
      <c r="D930" t="s">
        <v>472</v>
      </c>
      <c r="E930" t="s">
        <v>691</v>
      </c>
      <c r="F930" t="s">
        <v>117</v>
      </c>
      <c r="G930">
        <v>1</v>
      </c>
      <c r="H930" s="3">
        <v>990</v>
      </c>
      <c r="I930" s="3">
        <v>990</v>
      </c>
      <c r="J930" t="s">
        <v>76</v>
      </c>
      <c r="K930" t="s">
        <v>83</v>
      </c>
      <c r="L930" s="3">
        <f>SUM(SalesData3[Sales Amount (PKR)])</f>
        <v>11946830</v>
      </c>
    </row>
    <row r="931" spans="1:12" ht="14.25" customHeight="1" x14ac:dyDescent="0.45">
      <c r="A931" t="s">
        <v>1229</v>
      </c>
      <c r="B931" s="2" t="s">
        <v>414</v>
      </c>
      <c r="C931" t="s">
        <v>100</v>
      </c>
      <c r="D931" t="s">
        <v>472</v>
      </c>
      <c r="E931" t="s">
        <v>691</v>
      </c>
      <c r="F931" t="s">
        <v>75</v>
      </c>
      <c r="G931">
        <v>1</v>
      </c>
      <c r="H931" s="3">
        <v>980</v>
      </c>
      <c r="I931" s="3">
        <v>980</v>
      </c>
      <c r="J931" t="s">
        <v>76</v>
      </c>
      <c r="K931" t="s">
        <v>77</v>
      </c>
      <c r="L931" s="3">
        <f>SUM(SalesData3[Sales Amount (PKR)])</f>
        <v>11946830</v>
      </c>
    </row>
    <row r="932" spans="1:12" ht="14.25" customHeight="1" x14ac:dyDescent="0.45">
      <c r="A932" t="s">
        <v>1230</v>
      </c>
      <c r="B932" s="2" t="s">
        <v>554</v>
      </c>
      <c r="C932" t="s">
        <v>72</v>
      </c>
      <c r="D932" t="s">
        <v>472</v>
      </c>
      <c r="E932" t="s">
        <v>691</v>
      </c>
      <c r="F932" t="s">
        <v>131</v>
      </c>
      <c r="G932">
        <v>1</v>
      </c>
      <c r="H932" s="3">
        <v>980</v>
      </c>
      <c r="I932" s="3">
        <v>980</v>
      </c>
      <c r="J932" t="s">
        <v>82</v>
      </c>
      <c r="K932" t="s">
        <v>83</v>
      </c>
      <c r="L932" s="3">
        <f>SUM(SalesData3[Sales Amount (PKR)])</f>
        <v>11946830</v>
      </c>
    </row>
    <row r="933" spans="1:12" ht="14.25" customHeight="1" x14ac:dyDescent="0.45">
      <c r="A933" t="s">
        <v>1231</v>
      </c>
      <c r="B933" s="2" t="s">
        <v>307</v>
      </c>
      <c r="C933" t="s">
        <v>80</v>
      </c>
      <c r="D933" t="s">
        <v>472</v>
      </c>
      <c r="E933" t="s">
        <v>691</v>
      </c>
      <c r="F933" t="s">
        <v>81</v>
      </c>
      <c r="G933">
        <v>1</v>
      </c>
      <c r="H933" s="3">
        <v>980</v>
      </c>
      <c r="I933" s="3">
        <v>980</v>
      </c>
      <c r="J933" t="s">
        <v>76</v>
      </c>
      <c r="K933" t="s">
        <v>77</v>
      </c>
      <c r="L933" s="3">
        <f>SUM(SalesData3[Sales Amount (PKR)])</f>
        <v>11946830</v>
      </c>
    </row>
    <row r="934" spans="1:12" ht="14.25" customHeight="1" x14ac:dyDescent="0.45">
      <c r="A934" t="s">
        <v>1232</v>
      </c>
      <c r="B934" s="2" t="s">
        <v>481</v>
      </c>
      <c r="C934" t="s">
        <v>89</v>
      </c>
      <c r="D934" t="s">
        <v>472</v>
      </c>
      <c r="E934" t="s">
        <v>691</v>
      </c>
      <c r="F934" t="s">
        <v>131</v>
      </c>
      <c r="G934">
        <v>1</v>
      </c>
      <c r="H934" s="3">
        <v>980</v>
      </c>
      <c r="I934" s="3">
        <v>980</v>
      </c>
      <c r="J934" t="s">
        <v>76</v>
      </c>
      <c r="K934" t="s">
        <v>77</v>
      </c>
      <c r="L934" s="3">
        <f>SUM(SalesData3[Sales Amount (PKR)])</f>
        <v>11946830</v>
      </c>
    </row>
    <row r="935" spans="1:12" ht="14.25" customHeight="1" x14ac:dyDescent="0.45">
      <c r="A935" t="s">
        <v>1233</v>
      </c>
      <c r="B935" s="2" t="s">
        <v>130</v>
      </c>
      <c r="C935" t="s">
        <v>96</v>
      </c>
      <c r="D935" t="s">
        <v>472</v>
      </c>
      <c r="E935" t="s">
        <v>691</v>
      </c>
      <c r="F935" t="s">
        <v>117</v>
      </c>
      <c r="G935">
        <v>1</v>
      </c>
      <c r="H935" s="3">
        <v>980</v>
      </c>
      <c r="I935" s="3">
        <v>980</v>
      </c>
      <c r="J935" t="s">
        <v>82</v>
      </c>
      <c r="K935" t="s">
        <v>93</v>
      </c>
      <c r="L935" s="3">
        <f>SUM(SalesData3[Sales Amount (PKR)])</f>
        <v>11946830</v>
      </c>
    </row>
    <row r="936" spans="1:12" ht="14.25" customHeight="1" x14ac:dyDescent="0.45">
      <c r="A936" t="s">
        <v>1234</v>
      </c>
      <c r="B936" s="2" t="s">
        <v>552</v>
      </c>
      <c r="C936" t="s">
        <v>89</v>
      </c>
      <c r="D936" t="s">
        <v>472</v>
      </c>
      <c r="E936" t="s">
        <v>691</v>
      </c>
      <c r="F936" t="s">
        <v>131</v>
      </c>
      <c r="G936">
        <v>1</v>
      </c>
      <c r="H936" s="3">
        <v>970</v>
      </c>
      <c r="I936" s="3">
        <v>970</v>
      </c>
      <c r="J936" t="s">
        <v>76</v>
      </c>
      <c r="K936" t="s">
        <v>83</v>
      </c>
      <c r="L936" s="3">
        <f>SUM(SalesData3[Sales Amount (PKR)])</f>
        <v>11946830</v>
      </c>
    </row>
    <row r="937" spans="1:12" ht="14.25" customHeight="1" x14ac:dyDescent="0.45">
      <c r="A937" t="s">
        <v>1235</v>
      </c>
      <c r="B937" s="2" t="s">
        <v>667</v>
      </c>
      <c r="C937" t="s">
        <v>100</v>
      </c>
      <c r="D937" t="s">
        <v>472</v>
      </c>
      <c r="E937" t="s">
        <v>691</v>
      </c>
      <c r="F937" t="s">
        <v>90</v>
      </c>
      <c r="G937">
        <v>1</v>
      </c>
      <c r="H937" s="3">
        <v>970</v>
      </c>
      <c r="I937" s="3">
        <v>970</v>
      </c>
      <c r="J937" t="s">
        <v>76</v>
      </c>
      <c r="K937" t="s">
        <v>83</v>
      </c>
      <c r="L937" s="3">
        <f>SUM(SalesData3[Sales Amount (PKR)])</f>
        <v>11946830</v>
      </c>
    </row>
    <row r="938" spans="1:12" ht="14.25" customHeight="1" x14ac:dyDescent="0.45">
      <c r="A938" t="s">
        <v>1236</v>
      </c>
      <c r="B938" s="2" t="s">
        <v>175</v>
      </c>
      <c r="C938" t="s">
        <v>96</v>
      </c>
      <c r="D938" t="s">
        <v>472</v>
      </c>
      <c r="E938" t="s">
        <v>691</v>
      </c>
      <c r="F938" t="s">
        <v>107</v>
      </c>
      <c r="G938">
        <v>1</v>
      </c>
      <c r="H938" s="3">
        <v>970</v>
      </c>
      <c r="I938" s="3">
        <v>970</v>
      </c>
      <c r="J938" t="s">
        <v>82</v>
      </c>
      <c r="K938" t="s">
        <v>83</v>
      </c>
      <c r="L938" s="3">
        <f>SUM(SalesData3[Sales Amount (PKR)])</f>
        <v>11946830</v>
      </c>
    </row>
    <row r="939" spans="1:12" ht="14.25" customHeight="1" x14ac:dyDescent="0.45">
      <c r="A939" t="s">
        <v>1237</v>
      </c>
      <c r="B939" s="2" t="s">
        <v>699</v>
      </c>
      <c r="C939" t="s">
        <v>96</v>
      </c>
      <c r="D939" t="s">
        <v>472</v>
      </c>
      <c r="E939" t="s">
        <v>691</v>
      </c>
      <c r="F939" t="s">
        <v>140</v>
      </c>
      <c r="G939">
        <v>1</v>
      </c>
      <c r="H939" s="3">
        <v>970</v>
      </c>
      <c r="I939" s="3">
        <v>970</v>
      </c>
      <c r="J939" t="s">
        <v>82</v>
      </c>
      <c r="K939" t="s">
        <v>83</v>
      </c>
      <c r="L939" s="3">
        <f>SUM(SalesData3[Sales Amount (PKR)])</f>
        <v>11946830</v>
      </c>
    </row>
    <row r="940" spans="1:12" ht="14.25" customHeight="1" x14ac:dyDescent="0.45">
      <c r="A940" t="s">
        <v>1238</v>
      </c>
      <c r="B940" s="2" t="s">
        <v>175</v>
      </c>
      <c r="C940" t="s">
        <v>72</v>
      </c>
      <c r="D940" t="s">
        <v>472</v>
      </c>
      <c r="E940" t="s">
        <v>691</v>
      </c>
      <c r="F940" t="s">
        <v>86</v>
      </c>
      <c r="G940">
        <v>1</v>
      </c>
      <c r="H940" s="3">
        <v>960</v>
      </c>
      <c r="I940" s="3">
        <v>960</v>
      </c>
      <c r="J940" t="s">
        <v>82</v>
      </c>
      <c r="K940" t="s">
        <v>83</v>
      </c>
      <c r="L940" s="3">
        <f>SUM(SalesData3[Sales Amount (PKR)])</f>
        <v>11946830</v>
      </c>
    </row>
    <row r="941" spans="1:12" ht="14.25" customHeight="1" x14ac:dyDescent="0.45">
      <c r="A941" t="s">
        <v>1239</v>
      </c>
      <c r="B941" s="2" t="s">
        <v>324</v>
      </c>
      <c r="C941" t="s">
        <v>100</v>
      </c>
      <c r="D941" t="s">
        <v>472</v>
      </c>
      <c r="E941" t="s">
        <v>691</v>
      </c>
      <c r="F941" t="s">
        <v>90</v>
      </c>
      <c r="G941">
        <v>1</v>
      </c>
      <c r="H941" s="3">
        <v>960</v>
      </c>
      <c r="I941" s="3">
        <v>960</v>
      </c>
      <c r="J941" t="s">
        <v>76</v>
      </c>
      <c r="K941" t="s">
        <v>77</v>
      </c>
      <c r="L941" s="3">
        <f>SUM(SalesData3[Sales Amount (PKR)])</f>
        <v>11946830</v>
      </c>
    </row>
    <row r="942" spans="1:12" ht="14.25" customHeight="1" x14ac:dyDescent="0.45">
      <c r="A942" t="s">
        <v>1240</v>
      </c>
      <c r="B942" s="2" t="s">
        <v>578</v>
      </c>
      <c r="C942" t="s">
        <v>96</v>
      </c>
      <c r="D942" t="s">
        <v>472</v>
      </c>
      <c r="E942" t="s">
        <v>691</v>
      </c>
      <c r="F942" t="s">
        <v>97</v>
      </c>
      <c r="G942">
        <v>1</v>
      </c>
      <c r="H942" s="3">
        <v>960</v>
      </c>
      <c r="I942" s="3">
        <v>960</v>
      </c>
      <c r="J942" t="s">
        <v>82</v>
      </c>
      <c r="K942" t="s">
        <v>83</v>
      </c>
      <c r="L942" s="3">
        <f>SUM(SalesData3[Sales Amount (PKR)])</f>
        <v>11946830</v>
      </c>
    </row>
    <row r="943" spans="1:12" ht="14.25" customHeight="1" x14ac:dyDescent="0.45">
      <c r="A943" t="s">
        <v>1241</v>
      </c>
      <c r="B943" s="2" t="s">
        <v>656</v>
      </c>
      <c r="C943" t="s">
        <v>89</v>
      </c>
      <c r="D943" t="s">
        <v>472</v>
      </c>
      <c r="E943" t="s">
        <v>691</v>
      </c>
      <c r="F943" t="s">
        <v>81</v>
      </c>
      <c r="G943">
        <v>1</v>
      </c>
      <c r="H943" s="3">
        <v>950</v>
      </c>
      <c r="I943" s="3">
        <v>950</v>
      </c>
      <c r="J943" t="s">
        <v>76</v>
      </c>
      <c r="K943" t="s">
        <v>93</v>
      </c>
      <c r="L943" s="3">
        <f>SUM(SalesData3[Sales Amount (PKR)])</f>
        <v>11946830</v>
      </c>
    </row>
    <row r="944" spans="1:12" ht="14.25" customHeight="1" x14ac:dyDescent="0.45">
      <c r="A944" t="s">
        <v>1242</v>
      </c>
      <c r="B944" s="2" t="s">
        <v>455</v>
      </c>
      <c r="C944" t="s">
        <v>89</v>
      </c>
      <c r="D944" t="s">
        <v>472</v>
      </c>
      <c r="E944" t="s">
        <v>691</v>
      </c>
      <c r="F944" t="s">
        <v>81</v>
      </c>
      <c r="G944">
        <v>1</v>
      </c>
      <c r="H944" s="3">
        <v>950</v>
      </c>
      <c r="I944" s="3">
        <v>950</v>
      </c>
      <c r="J944" t="s">
        <v>82</v>
      </c>
      <c r="K944" t="s">
        <v>83</v>
      </c>
      <c r="L944" s="3">
        <f>SUM(SalesData3[Sales Amount (PKR)])</f>
        <v>11946830</v>
      </c>
    </row>
    <row r="945" spans="1:12" ht="14.25" customHeight="1" x14ac:dyDescent="0.45">
      <c r="A945" t="s">
        <v>1243</v>
      </c>
      <c r="B945" s="2" t="s">
        <v>554</v>
      </c>
      <c r="C945" t="s">
        <v>100</v>
      </c>
      <c r="D945" t="s">
        <v>472</v>
      </c>
      <c r="E945" t="s">
        <v>691</v>
      </c>
      <c r="F945" t="s">
        <v>107</v>
      </c>
      <c r="G945">
        <v>1</v>
      </c>
      <c r="H945" s="3">
        <v>950</v>
      </c>
      <c r="I945" s="3">
        <v>950</v>
      </c>
      <c r="J945" t="s">
        <v>82</v>
      </c>
      <c r="K945" t="s">
        <v>83</v>
      </c>
      <c r="L945" s="3">
        <f>SUM(SalesData3[Sales Amount (PKR)])</f>
        <v>11946830</v>
      </c>
    </row>
    <row r="946" spans="1:12" ht="14.25" customHeight="1" x14ac:dyDescent="0.45">
      <c r="A946" t="s">
        <v>1244</v>
      </c>
      <c r="B946" s="2" t="s">
        <v>363</v>
      </c>
      <c r="C946" t="s">
        <v>100</v>
      </c>
      <c r="D946" t="s">
        <v>472</v>
      </c>
      <c r="E946" t="s">
        <v>691</v>
      </c>
      <c r="F946" t="s">
        <v>75</v>
      </c>
      <c r="G946">
        <v>1</v>
      </c>
      <c r="H946" s="3">
        <v>950</v>
      </c>
      <c r="I946" s="3">
        <v>950</v>
      </c>
      <c r="J946" t="s">
        <v>76</v>
      </c>
      <c r="K946" t="s">
        <v>77</v>
      </c>
      <c r="L946" s="3">
        <f>SUM(SalesData3[Sales Amount (PKR)])</f>
        <v>11946830</v>
      </c>
    </row>
    <row r="947" spans="1:12" ht="14.25" customHeight="1" x14ac:dyDescent="0.45">
      <c r="A947" t="s">
        <v>1245</v>
      </c>
      <c r="B947" s="2" t="s">
        <v>242</v>
      </c>
      <c r="C947" t="s">
        <v>96</v>
      </c>
      <c r="D947" t="s">
        <v>472</v>
      </c>
      <c r="E947" t="s">
        <v>691</v>
      </c>
      <c r="F947" t="s">
        <v>140</v>
      </c>
      <c r="G947">
        <v>1</v>
      </c>
      <c r="H947" s="3">
        <v>950</v>
      </c>
      <c r="I947" s="3">
        <v>950</v>
      </c>
      <c r="J947" t="s">
        <v>82</v>
      </c>
      <c r="K947" t="s">
        <v>77</v>
      </c>
      <c r="L947" s="3">
        <f>SUM(SalesData3[Sales Amount (PKR)])</f>
        <v>11946830</v>
      </c>
    </row>
    <row r="948" spans="1:12" ht="14.25" customHeight="1" x14ac:dyDescent="0.45">
      <c r="A948" t="s">
        <v>1246</v>
      </c>
      <c r="B948" s="2" t="s">
        <v>125</v>
      </c>
      <c r="C948" t="s">
        <v>89</v>
      </c>
      <c r="D948" t="s">
        <v>472</v>
      </c>
      <c r="E948" t="s">
        <v>691</v>
      </c>
      <c r="F948" t="s">
        <v>86</v>
      </c>
      <c r="G948">
        <v>1</v>
      </c>
      <c r="H948" s="3">
        <v>940</v>
      </c>
      <c r="I948" s="3">
        <v>940</v>
      </c>
      <c r="J948" t="s">
        <v>76</v>
      </c>
      <c r="K948" t="s">
        <v>83</v>
      </c>
      <c r="L948" s="3">
        <f>SUM(SalesData3[Sales Amount (PKR)])</f>
        <v>11946830</v>
      </c>
    </row>
    <row r="949" spans="1:12" ht="14.25" customHeight="1" x14ac:dyDescent="0.45">
      <c r="A949" t="s">
        <v>1247</v>
      </c>
      <c r="B949" s="2" t="s">
        <v>305</v>
      </c>
      <c r="C949" t="s">
        <v>72</v>
      </c>
      <c r="D949" t="s">
        <v>472</v>
      </c>
      <c r="E949" t="s">
        <v>691</v>
      </c>
      <c r="F949" t="s">
        <v>107</v>
      </c>
      <c r="G949">
        <v>1</v>
      </c>
      <c r="H949" s="3">
        <v>940</v>
      </c>
      <c r="I949" s="3">
        <v>940</v>
      </c>
      <c r="J949" t="s">
        <v>82</v>
      </c>
      <c r="K949" t="s">
        <v>77</v>
      </c>
      <c r="L949" s="3">
        <f>SUM(SalesData3[Sales Amount (PKR)])</f>
        <v>11946830</v>
      </c>
    </row>
    <row r="950" spans="1:12" ht="14.25" customHeight="1" x14ac:dyDescent="0.45">
      <c r="A950" t="s">
        <v>1248</v>
      </c>
      <c r="B950" s="2" t="s">
        <v>554</v>
      </c>
      <c r="C950" t="s">
        <v>89</v>
      </c>
      <c r="D950" t="s">
        <v>472</v>
      </c>
      <c r="E950" t="s">
        <v>691</v>
      </c>
      <c r="F950" t="s">
        <v>140</v>
      </c>
      <c r="G950">
        <v>1</v>
      </c>
      <c r="H950" s="3">
        <v>940</v>
      </c>
      <c r="I950" s="3">
        <v>940</v>
      </c>
      <c r="J950" t="s">
        <v>76</v>
      </c>
      <c r="K950" t="s">
        <v>77</v>
      </c>
      <c r="L950" s="3">
        <f>SUM(SalesData3[Sales Amount (PKR)])</f>
        <v>11946830</v>
      </c>
    </row>
    <row r="951" spans="1:12" ht="14.25" customHeight="1" x14ac:dyDescent="0.45">
      <c r="A951" t="s">
        <v>1249</v>
      </c>
      <c r="B951" s="2" t="s">
        <v>156</v>
      </c>
      <c r="C951" t="s">
        <v>100</v>
      </c>
      <c r="D951" t="s">
        <v>472</v>
      </c>
      <c r="E951" t="s">
        <v>691</v>
      </c>
      <c r="F951" t="s">
        <v>131</v>
      </c>
      <c r="G951">
        <v>1</v>
      </c>
      <c r="H951" s="3">
        <v>940</v>
      </c>
      <c r="I951" s="3">
        <v>940</v>
      </c>
      <c r="J951" t="s">
        <v>82</v>
      </c>
      <c r="K951" t="s">
        <v>93</v>
      </c>
      <c r="L951" s="3">
        <f>SUM(SalesData3[Sales Amount (PKR)])</f>
        <v>11946830</v>
      </c>
    </row>
    <row r="952" spans="1:12" ht="14.25" customHeight="1" x14ac:dyDescent="0.45">
      <c r="A952" t="s">
        <v>1250</v>
      </c>
      <c r="B952" s="2" t="s">
        <v>950</v>
      </c>
      <c r="C952" t="s">
        <v>72</v>
      </c>
      <c r="D952" t="s">
        <v>472</v>
      </c>
      <c r="E952" t="s">
        <v>691</v>
      </c>
      <c r="F952" t="s">
        <v>117</v>
      </c>
      <c r="G952">
        <v>1</v>
      </c>
      <c r="H952" s="3">
        <v>930</v>
      </c>
      <c r="I952" s="3">
        <v>930</v>
      </c>
      <c r="J952" t="s">
        <v>76</v>
      </c>
      <c r="K952" t="s">
        <v>77</v>
      </c>
      <c r="L952" s="3">
        <f>SUM(SalesData3[Sales Amount (PKR)])</f>
        <v>11946830</v>
      </c>
    </row>
    <row r="953" spans="1:12" ht="14.25" customHeight="1" x14ac:dyDescent="0.45">
      <c r="A953" t="s">
        <v>1251</v>
      </c>
      <c r="B953" s="2" t="s">
        <v>305</v>
      </c>
      <c r="C953" t="s">
        <v>100</v>
      </c>
      <c r="D953" t="s">
        <v>472</v>
      </c>
      <c r="E953" t="s">
        <v>691</v>
      </c>
      <c r="F953" t="s">
        <v>140</v>
      </c>
      <c r="G953">
        <v>1</v>
      </c>
      <c r="H953" s="3">
        <v>930</v>
      </c>
      <c r="I953" s="3">
        <v>930</v>
      </c>
      <c r="J953" t="s">
        <v>76</v>
      </c>
      <c r="K953" t="s">
        <v>77</v>
      </c>
      <c r="L953" s="3">
        <f>SUM(SalesData3[Sales Amount (PKR)])</f>
        <v>11946830</v>
      </c>
    </row>
    <row r="954" spans="1:12" ht="14.25" customHeight="1" x14ac:dyDescent="0.45">
      <c r="A954" t="s">
        <v>1252</v>
      </c>
      <c r="B954" s="2" t="s">
        <v>169</v>
      </c>
      <c r="C954" t="s">
        <v>72</v>
      </c>
      <c r="D954" t="s">
        <v>472</v>
      </c>
      <c r="E954" t="s">
        <v>691</v>
      </c>
      <c r="F954" t="s">
        <v>123</v>
      </c>
      <c r="G954">
        <v>1</v>
      </c>
      <c r="H954" s="3">
        <v>920</v>
      </c>
      <c r="I954" s="3">
        <v>920</v>
      </c>
      <c r="J954" t="s">
        <v>76</v>
      </c>
      <c r="K954" t="s">
        <v>83</v>
      </c>
      <c r="L954" s="3">
        <f>SUM(SalesData3[Sales Amount (PKR)])</f>
        <v>11946830</v>
      </c>
    </row>
    <row r="955" spans="1:12" ht="14.25" customHeight="1" x14ac:dyDescent="0.45">
      <c r="A955" t="s">
        <v>1253</v>
      </c>
      <c r="B955" s="2" t="s">
        <v>1086</v>
      </c>
      <c r="C955" t="s">
        <v>89</v>
      </c>
      <c r="D955" t="s">
        <v>472</v>
      </c>
      <c r="E955" t="s">
        <v>691</v>
      </c>
      <c r="F955" t="s">
        <v>86</v>
      </c>
      <c r="G955">
        <v>1</v>
      </c>
      <c r="H955" s="3">
        <v>920</v>
      </c>
      <c r="I955" s="3">
        <v>920</v>
      </c>
      <c r="J955" t="s">
        <v>82</v>
      </c>
      <c r="K955" t="s">
        <v>83</v>
      </c>
      <c r="L955" s="3">
        <f>SUM(SalesData3[Sales Amount (PKR)])</f>
        <v>11946830</v>
      </c>
    </row>
    <row r="956" spans="1:12" ht="14.25" customHeight="1" x14ac:dyDescent="0.45">
      <c r="A956" t="s">
        <v>1254</v>
      </c>
      <c r="B956" s="2" t="s">
        <v>204</v>
      </c>
      <c r="C956" t="s">
        <v>96</v>
      </c>
      <c r="D956" t="s">
        <v>472</v>
      </c>
      <c r="E956" t="s">
        <v>691</v>
      </c>
      <c r="F956" t="s">
        <v>117</v>
      </c>
      <c r="G956">
        <v>1</v>
      </c>
      <c r="H956" s="3">
        <v>920</v>
      </c>
      <c r="I956" s="3">
        <v>920</v>
      </c>
      <c r="J956" t="s">
        <v>76</v>
      </c>
      <c r="K956" t="s">
        <v>83</v>
      </c>
      <c r="L956" s="3">
        <f>SUM(SalesData3[Sales Amount (PKR)])</f>
        <v>11946830</v>
      </c>
    </row>
    <row r="957" spans="1:12" ht="14.25" customHeight="1" x14ac:dyDescent="0.45">
      <c r="A957" t="s">
        <v>1255</v>
      </c>
      <c r="B957" s="2" t="s">
        <v>160</v>
      </c>
      <c r="C957" t="s">
        <v>89</v>
      </c>
      <c r="D957" t="s">
        <v>472</v>
      </c>
      <c r="E957" t="s">
        <v>691</v>
      </c>
      <c r="F957" t="s">
        <v>97</v>
      </c>
      <c r="G957">
        <v>1</v>
      </c>
      <c r="H957" s="3">
        <v>910</v>
      </c>
      <c r="I957" s="3">
        <v>910</v>
      </c>
      <c r="J957" t="s">
        <v>82</v>
      </c>
      <c r="K957" t="s">
        <v>77</v>
      </c>
      <c r="L957" s="3">
        <f>SUM(SalesData3[Sales Amount (PKR)])</f>
        <v>11946830</v>
      </c>
    </row>
    <row r="958" spans="1:12" ht="14.25" customHeight="1" x14ac:dyDescent="0.45">
      <c r="A958" t="s">
        <v>1256</v>
      </c>
      <c r="B958" s="2" t="s">
        <v>569</v>
      </c>
      <c r="C958" t="s">
        <v>96</v>
      </c>
      <c r="D958" t="s">
        <v>472</v>
      </c>
      <c r="E958" t="s">
        <v>691</v>
      </c>
      <c r="F958" t="s">
        <v>81</v>
      </c>
      <c r="G958">
        <v>1</v>
      </c>
      <c r="H958" s="3">
        <v>910</v>
      </c>
      <c r="I958" s="3">
        <v>910</v>
      </c>
      <c r="J958" t="s">
        <v>76</v>
      </c>
      <c r="K958" t="s">
        <v>77</v>
      </c>
      <c r="L958" s="3">
        <f>SUM(SalesData3[Sales Amount (PKR)])</f>
        <v>11946830</v>
      </c>
    </row>
    <row r="960" spans="1:12" ht="14.25" customHeight="1" x14ac:dyDescent="0.45">
      <c r="F960">
        <f>COUNTA(A:A)</f>
        <v>958</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8"/>
  <sheetViews>
    <sheetView showGridLines="0" topLeftCell="A14" zoomScaleNormal="100" workbookViewId="0">
      <selection activeCell="A14" sqref="A14"/>
    </sheetView>
  </sheetViews>
  <sheetFormatPr defaultColWidth="8.73046875" defaultRowHeight="14.25" customHeight="1" x14ac:dyDescent="0.45"/>
  <cols>
    <col min="1" max="1" width="2.9296875" customWidth="1"/>
    <col min="2" max="6" width="30" customWidth="1"/>
    <col min="7" max="7" width="2.9296875" customWidth="1"/>
  </cols>
  <sheetData>
    <row r="2" spans="2:6" ht="14.25" customHeight="1" x14ac:dyDescent="0.45">
      <c r="B2" s="64" t="s">
        <v>1257</v>
      </c>
      <c r="C2" s="65"/>
      <c r="D2" s="65"/>
      <c r="E2" s="65"/>
      <c r="F2" s="65"/>
    </row>
    <row r="3" spans="2:6" ht="14.25" customHeight="1" x14ac:dyDescent="0.45">
      <c r="B3" s="65"/>
      <c r="C3" s="65"/>
      <c r="D3" s="65"/>
      <c r="E3" s="65"/>
      <c r="F3" s="65"/>
    </row>
    <row r="4" spans="2:6" ht="16.149999999999999" customHeight="1" x14ac:dyDescent="0.5">
      <c r="B4" s="69" t="s">
        <v>1258</v>
      </c>
      <c r="C4" s="65"/>
      <c r="D4" s="65"/>
      <c r="E4" s="65"/>
      <c r="F4" s="65"/>
    </row>
    <row r="6" spans="2:6" ht="28.35" customHeight="1" x14ac:dyDescent="0.45">
      <c r="B6" s="4" t="s">
        <v>1259</v>
      </c>
      <c r="C6" s="5" t="s">
        <v>1260</v>
      </c>
    </row>
    <row r="7" spans="2:6" ht="41.75" customHeight="1" x14ac:dyDescent="0.45">
      <c r="B7" s="4" t="s">
        <v>1261</v>
      </c>
      <c r="C7" s="5" t="s">
        <v>1262</v>
      </c>
    </row>
    <row r="8" spans="2:6" ht="28.35" customHeight="1" x14ac:dyDescent="0.45">
      <c r="B8" s="4" t="s">
        <v>1263</v>
      </c>
      <c r="C8" s="5" t="s">
        <v>1264</v>
      </c>
    </row>
    <row r="9" spans="2:6" ht="41.75" customHeight="1" x14ac:dyDescent="0.45">
      <c r="B9" s="4" t="s">
        <v>1265</v>
      </c>
      <c r="C9" s="5" t="s">
        <v>1266</v>
      </c>
    </row>
    <row r="11" spans="2:6" ht="16.149999999999999" customHeight="1" x14ac:dyDescent="0.5">
      <c r="B11" s="66" t="s">
        <v>1267</v>
      </c>
      <c r="C11" s="65"/>
      <c r="D11" s="65"/>
      <c r="E11" s="65"/>
      <c r="F11" s="65"/>
    </row>
    <row r="12" spans="2:6" ht="15" customHeight="1" x14ac:dyDescent="0.45">
      <c r="B12" s="67" t="s">
        <v>1268</v>
      </c>
      <c r="C12" s="65"/>
      <c r="D12" s="65"/>
      <c r="E12" s="65"/>
      <c r="F12" s="65"/>
    </row>
    <row r="13" spans="2:6" ht="15" customHeight="1" x14ac:dyDescent="0.45">
      <c r="B13" s="67" t="s">
        <v>1269</v>
      </c>
      <c r="C13" s="65"/>
      <c r="D13" s="65"/>
      <c r="E13" s="65"/>
      <c r="F13" s="65"/>
    </row>
    <row r="14" spans="2:6" ht="15" customHeight="1" x14ac:dyDescent="0.45">
      <c r="B14" s="67" t="s">
        <v>1270</v>
      </c>
      <c r="C14" s="65"/>
      <c r="D14" s="65"/>
      <c r="E14" s="65"/>
      <c r="F14" s="65"/>
    </row>
    <row r="15" spans="2:6" ht="15" customHeight="1" x14ac:dyDescent="0.45">
      <c r="B15" s="67" t="s">
        <v>1271</v>
      </c>
      <c r="C15" s="65"/>
      <c r="D15" s="65"/>
      <c r="E15" s="65"/>
      <c r="F15" s="65"/>
    </row>
    <row r="17" spans="2:6" ht="16.149999999999999" customHeight="1" x14ac:dyDescent="0.5">
      <c r="B17" s="66" t="s">
        <v>1272</v>
      </c>
      <c r="C17" s="65"/>
      <c r="D17" s="65"/>
      <c r="E17" s="65"/>
      <c r="F17" s="65"/>
    </row>
    <row r="18" spans="2:6" ht="30" customHeight="1" x14ac:dyDescent="0.45">
      <c r="B18" s="6" t="s">
        <v>1273</v>
      </c>
      <c r="C18" s="67" t="s">
        <v>1274</v>
      </c>
      <c r="D18" s="65"/>
      <c r="E18" s="65"/>
      <c r="F18" s="65"/>
    </row>
    <row r="19" spans="2:6" ht="30" customHeight="1" x14ac:dyDescent="0.45">
      <c r="B19" s="6" t="s">
        <v>0</v>
      </c>
      <c r="C19" s="67" t="s">
        <v>1275</v>
      </c>
      <c r="D19" s="65"/>
      <c r="E19" s="65"/>
      <c r="F19" s="65"/>
    </row>
    <row r="20" spans="2:6" ht="30" customHeight="1" x14ac:dyDescent="0.45">
      <c r="B20" s="6" t="s">
        <v>1276</v>
      </c>
      <c r="C20" s="67" t="s">
        <v>1277</v>
      </c>
      <c r="D20" s="65"/>
      <c r="E20" s="65"/>
      <c r="F20" s="65"/>
    </row>
    <row r="22" spans="2:6" ht="16.149999999999999" customHeight="1" x14ac:dyDescent="0.5">
      <c r="B22" s="66" t="s">
        <v>1278</v>
      </c>
      <c r="C22" s="65"/>
      <c r="D22" s="65"/>
      <c r="E22" s="65"/>
      <c r="F22" s="65"/>
    </row>
    <row r="23" spans="2:6" ht="15" customHeight="1" x14ac:dyDescent="0.45">
      <c r="B23" s="67" t="s">
        <v>1279</v>
      </c>
      <c r="C23" s="65"/>
      <c r="D23" s="65"/>
      <c r="E23" s="65"/>
      <c r="F23" s="65"/>
    </row>
    <row r="24" spans="2:6" ht="15" customHeight="1" x14ac:dyDescent="0.45">
      <c r="B24" s="67" t="s">
        <v>1280</v>
      </c>
      <c r="C24" s="65"/>
      <c r="D24" s="65"/>
      <c r="E24" s="65"/>
      <c r="F24" s="65"/>
    </row>
    <row r="25" spans="2:6" ht="15" customHeight="1" x14ac:dyDescent="0.45">
      <c r="B25" s="67" t="s">
        <v>1281</v>
      </c>
      <c r="C25" s="65"/>
      <c r="D25" s="65"/>
      <c r="E25" s="65"/>
      <c r="F25" s="65"/>
    </row>
    <row r="26" spans="2:6" ht="15" customHeight="1" x14ac:dyDescent="0.45">
      <c r="B26" s="67" t="s">
        <v>1282</v>
      </c>
      <c r="C26" s="65"/>
      <c r="D26" s="65"/>
      <c r="E26" s="65"/>
      <c r="F26" s="65"/>
    </row>
    <row r="28" spans="2:6" ht="30" customHeight="1" x14ac:dyDescent="0.45">
      <c r="B28" s="68" t="s">
        <v>1283</v>
      </c>
      <c r="C28" s="65"/>
      <c r="D28" s="65"/>
      <c r="E28" s="65"/>
      <c r="F28" s="65"/>
    </row>
  </sheetData>
  <mergeCells count="17">
    <mergeCell ref="B15:F15"/>
    <mergeCell ref="B2:F3"/>
    <mergeCell ref="B11:F11"/>
    <mergeCell ref="C20:F20"/>
    <mergeCell ref="B25:F25"/>
    <mergeCell ref="B28:F28"/>
    <mergeCell ref="B17:F17"/>
    <mergeCell ref="B23:F23"/>
    <mergeCell ref="B22:F22"/>
    <mergeCell ref="B14:F14"/>
    <mergeCell ref="C19:F19"/>
    <mergeCell ref="B26:F26"/>
    <mergeCell ref="B13:F13"/>
    <mergeCell ref="B4:F4"/>
    <mergeCell ref="C18:F18"/>
    <mergeCell ref="B12:F12"/>
    <mergeCell ref="B24:F2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58"/>
  <sheetViews>
    <sheetView tabSelected="1" zoomScaleNormal="100" workbookViewId="0">
      <pane ySplit="1" topLeftCell="A2" activePane="bottomLeft" state="frozen"/>
      <selection pane="bottomLeft" activeCell="I10" sqref="I10"/>
    </sheetView>
  </sheetViews>
  <sheetFormatPr defaultColWidth="8.73046875" defaultRowHeight="14.25" customHeight="1" x14ac:dyDescent="0.45"/>
  <cols>
    <col min="1" max="1" width="15" customWidth="1"/>
    <col min="2" max="2" width="13" customWidth="1"/>
    <col min="3" max="3" width="15" customWidth="1"/>
    <col min="4" max="4" width="19" customWidth="1"/>
    <col min="5" max="5" width="22" customWidth="1"/>
    <col min="6" max="6" width="19" customWidth="1"/>
    <col min="7" max="7" width="12" customWidth="1"/>
    <col min="8" max="8" width="19" customWidth="1"/>
    <col min="9" max="9" width="20" customWidth="1"/>
    <col min="10" max="11" width="17" customWidth="1"/>
    <col min="12" max="12" width="14" customWidth="1"/>
  </cols>
  <sheetData>
    <row r="1" spans="1:12" ht="14.25" customHeight="1" x14ac:dyDescent="0.45">
      <c r="A1" s="1" t="s">
        <v>58</v>
      </c>
      <c r="B1" s="1" t="s">
        <v>59</v>
      </c>
      <c r="C1" s="1" t="s">
        <v>60</v>
      </c>
      <c r="D1" s="1" t="s">
        <v>61</v>
      </c>
      <c r="E1" s="1" t="s">
        <v>62</v>
      </c>
      <c r="F1" s="1" t="s">
        <v>63</v>
      </c>
      <c r="G1" s="1" t="s">
        <v>64</v>
      </c>
      <c r="H1" s="1" t="s">
        <v>65</v>
      </c>
      <c r="I1" s="1" t="s">
        <v>66</v>
      </c>
      <c r="J1" s="1" t="s">
        <v>67</v>
      </c>
      <c r="K1" s="1" t="s">
        <v>68</v>
      </c>
      <c r="L1" t="s">
        <v>1284</v>
      </c>
    </row>
    <row r="2" spans="1:12" ht="14.25" customHeight="1" x14ac:dyDescent="0.45">
      <c r="A2" t="s">
        <v>1163</v>
      </c>
      <c r="B2" s="2" t="s">
        <v>869</v>
      </c>
      <c r="C2" t="s">
        <v>72</v>
      </c>
      <c r="D2" t="s">
        <v>334</v>
      </c>
      <c r="E2" t="s">
        <v>515</v>
      </c>
      <c r="F2" t="s">
        <v>117</v>
      </c>
      <c r="G2">
        <v>1</v>
      </c>
      <c r="H2" s="3">
        <v>1450</v>
      </c>
      <c r="I2" s="3">
        <v>1450</v>
      </c>
      <c r="J2" t="s">
        <v>82</v>
      </c>
      <c r="K2" t="s">
        <v>83</v>
      </c>
      <c r="L2" t="str">
        <f t="shared" ref="L2:L65" si="0">TEXT(B2,"dddd")</f>
        <v>Monday</v>
      </c>
    </row>
    <row r="3" spans="1:12" ht="14.25" customHeight="1" x14ac:dyDescent="0.45">
      <c r="A3" t="s">
        <v>671</v>
      </c>
      <c r="B3" s="2" t="s">
        <v>436</v>
      </c>
      <c r="C3" t="s">
        <v>80</v>
      </c>
      <c r="D3" t="s">
        <v>334</v>
      </c>
      <c r="E3" t="s">
        <v>402</v>
      </c>
      <c r="F3" t="s">
        <v>123</v>
      </c>
      <c r="G3">
        <v>1</v>
      </c>
      <c r="H3" s="3">
        <v>4060</v>
      </c>
      <c r="I3" s="3">
        <v>4060</v>
      </c>
      <c r="J3" t="s">
        <v>76</v>
      </c>
      <c r="K3" t="s">
        <v>93</v>
      </c>
      <c r="L3" t="str">
        <f t="shared" si="0"/>
        <v>Saturday</v>
      </c>
    </row>
    <row r="4" spans="1:12" ht="14.25" customHeight="1" x14ac:dyDescent="0.45">
      <c r="A4" t="s">
        <v>889</v>
      </c>
      <c r="B4" s="2" t="s">
        <v>309</v>
      </c>
      <c r="C4" t="s">
        <v>96</v>
      </c>
      <c r="D4" t="s">
        <v>398</v>
      </c>
      <c r="E4" t="s">
        <v>464</v>
      </c>
      <c r="F4" t="s">
        <v>86</v>
      </c>
      <c r="G4">
        <v>1</v>
      </c>
      <c r="H4" s="3">
        <v>2510</v>
      </c>
      <c r="I4" s="3">
        <v>2510</v>
      </c>
      <c r="J4" t="s">
        <v>76</v>
      </c>
      <c r="K4" t="s">
        <v>77</v>
      </c>
      <c r="L4" t="str">
        <f t="shared" si="0"/>
        <v>Sunday</v>
      </c>
    </row>
    <row r="5" spans="1:12" ht="14.25" customHeight="1" x14ac:dyDescent="0.45">
      <c r="A5" t="s">
        <v>984</v>
      </c>
      <c r="B5" s="2" t="s">
        <v>791</v>
      </c>
      <c r="C5" t="s">
        <v>89</v>
      </c>
      <c r="D5" t="s">
        <v>398</v>
      </c>
      <c r="E5" t="s">
        <v>448</v>
      </c>
      <c r="F5" t="s">
        <v>140</v>
      </c>
      <c r="G5">
        <v>1</v>
      </c>
      <c r="H5" s="3">
        <v>2150</v>
      </c>
      <c r="I5" s="3">
        <v>2150</v>
      </c>
      <c r="J5" t="s">
        <v>76</v>
      </c>
      <c r="K5" t="s">
        <v>83</v>
      </c>
      <c r="L5" t="str">
        <f t="shared" si="0"/>
        <v>Friday</v>
      </c>
    </row>
    <row r="6" spans="1:12" ht="14.25" customHeight="1" x14ac:dyDescent="0.45">
      <c r="A6" t="s">
        <v>1255</v>
      </c>
      <c r="B6" s="2" t="s">
        <v>160</v>
      </c>
      <c r="C6" t="s">
        <v>89</v>
      </c>
      <c r="D6" t="s">
        <v>472</v>
      </c>
      <c r="E6" t="s">
        <v>691</v>
      </c>
      <c r="F6" t="s">
        <v>97</v>
      </c>
      <c r="G6">
        <v>1</v>
      </c>
      <c r="H6" s="3">
        <v>910</v>
      </c>
      <c r="I6" s="3">
        <v>910</v>
      </c>
      <c r="J6" t="s">
        <v>82</v>
      </c>
      <c r="K6" t="s">
        <v>77</v>
      </c>
      <c r="L6" t="str">
        <f t="shared" si="0"/>
        <v>Monday</v>
      </c>
    </row>
    <row r="7" spans="1:12" ht="14.25" customHeight="1" x14ac:dyDescent="0.45">
      <c r="A7" t="s">
        <v>293</v>
      </c>
      <c r="B7" s="2" t="s">
        <v>231</v>
      </c>
      <c r="C7" t="s">
        <v>89</v>
      </c>
      <c r="D7" t="s">
        <v>196</v>
      </c>
      <c r="E7" t="s">
        <v>197</v>
      </c>
      <c r="F7" t="s">
        <v>97</v>
      </c>
      <c r="G7">
        <v>1</v>
      </c>
      <c r="H7" s="3">
        <v>19000</v>
      </c>
      <c r="I7" s="3">
        <v>19000</v>
      </c>
      <c r="J7" t="s">
        <v>76</v>
      </c>
      <c r="K7" t="s">
        <v>77</v>
      </c>
      <c r="L7" t="str">
        <f t="shared" si="0"/>
        <v>Wednesday</v>
      </c>
    </row>
    <row r="8" spans="1:12" ht="14.25" customHeight="1" x14ac:dyDescent="0.45">
      <c r="A8" t="s">
        <v>577</v>
      </c>
      <c r="B8" s="2" t="s">
        <v>578</v>
      </c>
      <c r="C8" t="s">
        <v>89</v>
      </c>
      <c r="D8" t="s">
        <v>196</v>
      </c>
      <c r="E8" t="s">
        <v>300</v>
      </c>
      <c r="F8" t="s">
        <v>86</v>
      </c>
      <c r="G8">
        <v>1</v>
      </c>
      <c r="H8" s="3">
        <v>4560</v>
      </c>
      <c r="I8" s="3">
        <v>4560</v>
      </c>
      <c r="J8" t="s">
        <v>76</v>
      </c>
      <c r="K8" t="s">
        <v>83</v>
      </c>
      <c r="L8" t="str">
        <f t="shared" si="0"/>
        <v>Friday</v>
      </c>
    </row>
    <row r="9" spans="1:12" ht="14.25" customHeight="1" x14ac:dyDescent="0.45">
      <c r="A9" t="s">
        <v>1138</v>
      </c>
      <c r="B9" s="2" t="s">
        <v>489</v>
      </c>
      <c r="C9" t="s">
        <v>89</v>
      </c>
      <c r="D9" t="s">
        <v>472</v>
      </c>
      <c r="E9" t="s">
        <v>500</v>
      </c>
      <c r="F9" t="s">
        <v>86</v>
      </c>
      <c r="G9">
        <v>1</v>
      </c>
      <c r="H9" s="3">
        <v>1540</v>
      </c>
      <c r="I9" s="3">
        <v>1540</v>
      </c>
      <c r="J9" t="s">
        <v>76</v>
      </c>
      <c r="K9" t="s">
        <v>83</v>
      </c>
      <c r="L9" t="str">
        <f t="shared" si="0"/>
        <v>Thursday</v>
      </c>
    </row>
    <row r="10" spans="1:12" ht="14.25" customHeight="1" x14ac:dyDescent="0.45">
      <c r="A10" t="s">
        <v>486</v>
      </c>
      <c r="B10" s="2" t="s">
        <v>181</v>
      </c>
      <c r="C10" t="s">
        <v>100</v>
      </c>
      <c r="D10" t="s">
        <v>73</v>
      </c>
      <c r="E10" t="s">
        <v>443</v>
      </c>
      <c r="F10" t="s">
        <v>81</v>
      </c>
      <c r="G10">
        <v>2</v>
      </c>
      <c r="H10" s="3">
        <v>3390</v>
      </c>
      <c r="I10" s="3">
        <v>6780</v>
      </c>
      <c r="J10" t="s">
        <v>82</v>
      </c>
      <c r="K10" t="s">
        <v>83</v>
      </c>
      <c r="L10" t="str">
        <f t="shared" si="0"/>
        <v>Thursday</v>
      </c>
    </row>
    <row r="11" spans="1:12" ht="14.25" customHeight="1" x14ac:dyDescent="0.45">
      <c r="A11" t="s">
        <v>424</v>
      </c>
      <c r="B11" s="2" t="s">
        <v>298</v>
      </c>
      <c r="C11" t="s">
        <v>96</v>
      </c>
      <c r="D11" t="s">
        <v>73</v>
      </c>
      <c r="E11" t="s">
        <v>211</v>
      </c>
      <c r="F11" t="s">
        <v>131</v>
      </c>
      <c r="G11">
        <v>1</v>
      </c>
      <c r="H11" s="3">
        <v>11850</v>
      </c>
      <c r="I11" s="3">
        <v>11850</v>
      </c>
      <c r="J11" t="s">
        <v>76</v>
      </c>
      <c r="K11" t="s">
        <v>83</v>
      </c>
      <c r="L11" t="str">
        <f t="shared" si="0"/>
        <v>Friday</v>
      </c>
    </row>
    <row r="12" spans="1:12" ht="14.25" customHeight="1" x14ac:dyDescent="0.45">
      <c r="A12" t="s">
        <v>796</v>
      </c>
      <c r="B12" s="2" t="s">
        <v>146</v>
      </c>
      <c r="C12" t="s">
        <v>89</v>
      </c>
      <c r="D12" t="s">
        <v>472</v>
      </c>
      <c r="E12" t="s">
        <v>497</v>
      </c>
      <c r="F12" t="s">
        <v>107</v>
      </c>
      <c r="G12">
        <v>1</v>
      </c>
      <c r="H12" s="3">
        <v>3130</v>
      </c>
      <c r="I12" s="3">
        <v>3130</v>
      </c>
      <c r="J12" t="s">
        <v>76</v>
      </c>
      <c r="K12" t="s">
        <v>93</v>
      </c>
      <c r="L12" t="str">
        <f t="shared" si="0"/>
        <v>Saturday</v>
      </c>
    </row>
    <row r="13" spans="1:12" ht="14.25" customHeight="1" x14ac:dyDescent="0.45">
      <c r="A13" t="s">
        <v>726</v>
      </c>
      <c r="B13" s="2" t="s">
        <v>281</v>
      </c>
      <c r="C13" t="s">
        <v>100</v>
      </c>
      <c r="D13" t="s">
        <v>73</v>
      </c>
      <c r="E13" t="s">
        <v>443</v>
      </c>
      <c r="F13" t="s">
        <v>123</v>
      </c>
      <c r="G13">
        <v>1</v>
      </c>
      <c r="H13" s="3">
        <v>3540</v>
      </c>
      <c r="I13" s="3">
        <v>3540</v>
      </c>
      <c r="J13" t="s">
        <v>82</v>
      </c>
      <c r="K13" t="s">
        <v>83</v>
      </c>
      <c r="L13" t="str">
        <f t="shared" si="0"/>
        <v>Sunday</v>
      </c>
    </row>
    <row r="14" spans="1:12" ht="14.25" customHeight="1" x14ac:dyDescent="0.45">
      <c r="A14" t="s">
        <v>742</v>
      </c>
      <c r="B14" s="2" t="s">
        <v>414</v>
      </c>
      <c r="C14" t="s">
        <v>96</v>
      </c>
      <c r="D14" t="s">
        <v>398</v>
      </c>
      <c r="E14" t="s">
        <v>399</v>
      </c>
      <c r="F14" t="s">
        <v>131</v>
      </c>
      <c r="G14">
        <v>1</v>
      </c>
      <c r="H14" s="3">
        <v>3310</v>
      </c>
      <c r="I14" s="3">
        <v>3310</v>
      </c>
      <c r="J14" t="s">
        <v>82</v>
      </c>
      <c r="K14" t="s">
        <v>83</v>
      </c>
      <c r="L14" t="str">
        <f t="shared" si="0"/>
        <v>Friday</v>
      </c>
    </row>
    <row r="15" spans="1:12" ht="14.25" customHeight="1" x14ac:dyDescent="0.45">
      <c r="A15" t="s">
        <v>1191</v>
      </c>
      <c r="B15" s="2" t="s">
        <v>597</v>
      </c>
      <c r="C15" t="s">
        <v>89</v>
      </c>
      <c r="D15" t="s">
        <v>472</v>
      </c>
      <c r="E15" t="s">
        <v>557</v>
      </c>
      <c r="F15" t="s">
        <v>123</v>
      </c>
      <c r="G15">
        <v>1</v>
      </c>
      <c r="H15" s="3">
        <v>1210</v>
      </c>
      <c r="I15" s="3">
        <v>1210</v>
      </c>
      <c r="J15" t="s">
        <v>82</v>
      </c>
      <c r="K15" t="s">
        <v>83</v>
      </c>
      <c r="L15" t="str">
        <f t="shared" si="0"/>
        <v>Tuesday</v>
      </c>
    </row>
    <row r="16" spans="1:12" ht="14.25" customHeight="1" x14ac:dyDescent="0.45">
      <c r="A16" t="s">
        <v>561</v>
      </c>
      <c r="B16" s="2" t="s">
        <v>562</v>
      </c>
      <c r="C16" t="s">
        <v>100</v>
      </c>
      <c r="D16" t="s">
        <v>472</v>
      </c>
      <c r="E16" t="s">
        <v>500</v>
      </c>
      <c r="F16" t="s">
        <v>81</v>
      </c>
      <c r="G16">
        <v>3</v>
      </c>
      <c r="H16" s="3">
        <v>1560</v>
      </c>
      <c r="I16" s="3">
        <v>4680</v>
      </c>
      <c r="J16" t="s">
        <v>76</v>
      </c>
      <c r="K16" t="s">
        <v>93</v>
      </c>
      <c r="L16" t="str">
        <f t="shared" si="0"/>
        <v>Saturday</v>
      </c>
    </row>
    <row r="17" spans="1:12" ht="14.25" customHeight="1" x14ac:dyDescent="0.45">
      <c r="A17" t="s">
        <v>484</v>
      </c>
      <c r="B17" s="2" t="s">
        <v>347</v>
      </c>
      <c r="C17" t="s">
        <v>100</v>
      </c>
      <c r="D17" t="s">
        <v>73</v>
      </c>
      <c r="E17" t="s">
        <v>443</v>
      </c>
      <c r="F17" t="s">
        <v>81</v>
      </c>
      <c r="G17">
        <v>2</v>
      </c>
      <c r="H17" s="3">
        <v>3450</v>
      </c>
      <c r="I17" s="3">
        <v>6900</v>
      </c>
      <c r="J17" t="s">
        <v>82</v>
      </c>
      <c r="K17" t="s">
        <v>83</v>
      </c>
      <c r="L17" t="str">
        <f t="shared" si="0"/>
        <v>Wednesday</v>
      </c>
    </row>
    <row r="18" spans="1:12" ht="14.25" customHeight="1" x14ac:dyDescent="0.45">
      <c r="A18" t="s">
        <v>270</v>
      </c>
      <c r="B18" s="2" t="s">
        <v>271</v>
      </c>
      <c r="C18" t="s">
        <v>89</v>
      </c>
      <c r="D18" t="s">
        <v>196</v>
      </c>
      <c r="E18" t="s">
        <v>246</v>
      </c>
      <c r="F18" t="s">
        <v>86</v>
      </c>
      <c r="G18">
        <v>2</v>
      </c>
      <c r="H18" s="3">
        <v>13960</v>
      </c>
      <c r="I18" s="3">
        <v>27920</v>
      </c>
      <c r="J18" t="s">
        <v>82</v>
      </c>
      <c r="K18" t="s">
        <v>83</v>
      </c>
      <c r="L18" t="str">
        <f t="shared" si="0"/>
        <v>Tuesday</v>
      </c>
    </row>
    <row r="19" spans="1:12" ht="14.25" customHeight="1" x14ac:dyDescent="0.45">
      <c r="A19" t="s">
        <v>746</v>
      </c>
      <c r="B19" s="2" t="s">
        <v>407</v>
      </c>
      <c r="C19" t="s">
        <v>100</v>
      </c>
      <c r="D19" t="s">
        <v>472</v>
      </c>
      <c r="E19" t="s">
        <v>500</v>
      </c>
      <c r="F19" t="s">
        <v>117</v>
      </c>
      <c r="G19">
        <v>2</v>
      </c>
      <c r="H19" s="3">
        <v>1640</v>
      </c>
      <c r="I19" s="3">
        <v>3280</v>
      </c>
      <c r="J19" t="s">
        <v>82</v>
      </c>
      <c r="K19" t="s">
        <v>83</v>
      </c>
      <c r="L19" t="str">
        <f t="shared" si="0"/>
        <v>Wednesday</v>
      </c>
    </row>
    <row r="20" spans="1:12" ht="14.25" customHeight="1" x14ac:dyDescent="0.45">
      <c r="A20" t="s">
        <v>262</v>
      </c>
      <c r="B20" s="2" t="s">
        <v>109</v>
      </c>
      <c r="C20" t="s">
        <v>80</v>
      </c>
      <c r="D20" t="s">
        <v>196</v>
      </c>
      <c r="E20" t="s">
        <v>214</v>
      </c>
      <c r="F20" t="s">
        <v>90</v>
      </c>
      <c r="G20">
        <v>2</v>
      </c>
      <c r="H20" s="3">
        <v>15460</v>
      </c>
      <c r="I20" s="3">
        <v>30920</v>
      </c>
      <c r="J20" t="s">
        <v>82</v>
      </c>
      <c r="K20" t="s">
        <v>77</v>
      </c>
      <c r="L20" t="str">
        <f t="shared" si="0"/>
        <v>Saturday</v>
      </c>
    </row>
    <row r="21" spans="1:12" ht="14.25" customHeight="1" x14ac:dyDescent="0.45">
      <c r="A21" t="s">
        <v>802</v>
      </c>
      <c r="B21" s="2" t="s">
        <v>439</v>
      </c>
      <c r="C21" t="s">
        <v>80</v>
      </c>
      <c r="D21" t="s">
        <v>472</v>
      </c>
      <c r="E21" t="s">
        <v>497</v>
      </c>
      <c r="F21" t="s">
        <v>123</v>
      </c>
      <c r="G21">
        <v>1</v>
      </c>
      <c r="H21" s="3">
        <v>3120</v>
      </c>
      <c r="I21" s="3">
        <v>3120</v>
      </c>
      <c r="J21" t="s">
        <v>82</v>
      </c>
      <c r="K21" t="s">
        <v>83</v>
      </c>
      <c r="L21" t="str">
        <f t="shared" si="0"/>
        <v>Saturday</v>
      </c>
    </row>
    <row r="22" spans="1:12" ht="14.25" customHeight="1" x14ac:dyDescent="0.45">
      <c r="A22" t="s">
        <v>589</v>
      </c>
      <c r="B22" s="2" t="s">
        <v>249</v>
      </c>
      <c r="C22" t="s">
        <v>96</v>
      </c>
      <c r="D22" t="s">
        <v>398</v>
      </c>
      <c r="E22" t="s">
        <v>448</v>
      </c>
      <c r="F22" t="s">
        <v>117</v>
      </c>
      <c r="G22">
        <v>2</v>
      </c>
      <c r="H22" s="3">
        <v>2260</v>
      </c>
      <c r="I22" s="3">
        <v>4520</v>
      </c>
      <c r="J22" t="s">
        <v>76</v>
      </c>
      <c r="K22" t="s">
        <v>77</v>
      </c>
      <c r="L22" t="str">
        <f t="shared" si="0"/>
        <v>Thursday</v>
      </c>
    </row>
    <row r="23" spans="1:12" ht="14.25" customHeight="1" x14ac:dyDescent="0.45">
      <c r="A23" t="s">
        <v>514</v>
      </c>
      <c r="B23" s="2" t="s">
        <v>142</v>
      </c>
      <c r="C23" t="s">
        <v>89</v>
      </c>
      <c r="D23" t="s">
        <v>334</v>
      </c>
      <c r="E23" t="s">
        <v>515</v>
      </c>
      <c r="F23" t="s">
        <v>131</v>
      </c>
      <c r="G23">
        <v>4</v>
      </c>
      <c r="H23" s="3">
        <v>1550</v>
      </c>
      <c r="I23" s="3">
        <v>6200</v>
      </c>
      <c r="J23" t="s">
        <v>82</v>
      </c>
      <c r="K23" t="s">
        <v>83</v>
      </c>
      <c r="L23" t="str">
        <f t="shared" si="0"/>
        <v>Friday</v>
      </c>
    </row>
    <row r="24" spans="1:12" ht="14.25" customHeight="1" x14ac:dyDescent="0.45">
      <c r="A24" t="s">
        <v>124</v>
      </c>
      <c r="B24" s="2" t="s">
        <v>125</v>
      </c>
      <c r="C24" t="s">
        <v>89</v>
      </c>
      <c r="D24" t="s">
        <v>73</v>
      </c>
      <c r="E24" t="s">
        <v>104</v>
      </c>
      <c r="F24" t="s">
        <v>123</v>
      </c>
      <c r="G24">
        <v>2</v>
      </c>
      <c r="H24" s="3">
        <v>54720</v>
      </c>
      <c r="I24" s="3">
        <v>109440</v>
      </c>
      <c r="J24" t="s">
        <v>76</v>
      </c>
      <c r="K24" t="s">
        <v>83</v>
      </c>
      <c r="L24" t="str">
        <f t="shared" si="0"/>
        <v>Friday</v>
      </c>
    </row>
    <row r="25" spans="1:12" ht="14.25" customHeight="1" x14ac:dyDescent="0.45">
      <c r="A25" t="s">
        <v>727</v>
      </c>
      <c r="B25" s="2" t="s">
        <v>588</v>
      </c>
      <c r="C25" t="s">
        <v>100</v>
      </c>
      <c r="D25" t="s">
        <v>73</v>
      </c>
      <c r="E25" t="s">
        <v>443</v>
      </c>
      <c r="F25" t="s">
        <v>81</v>
      </c>
      <c r="G25">
        <v>1</v>
      </c>
      <c r="H25" s="3">
        <v>3540</v>
      </c>
      <c r="I25" s="3">
        <v>3540</v>
      </c>
      <c r="J25" t="s">
        <v>82</v>
      </c>
      <c r="K25" t="s">
        <v>93</v>
      </c>
      <c r="L25" t="str">
        <f t="shared" si="0"/>
        <v>Sunday</v>
      </c>
    </row>
    <row r="26" spans="1:12" ht="14.25" customHeight="1" x14ac:dyDescent="0.45">
      <c r="A26" t="s">
        <v>170</v>
      </c>
      <c r="B26" s="2" t="s">
        <v>171</v>
      </c>
      <c r="C26" t="s">
        <v>89</v>
      </c>
      <c r="D26" t="s">
        <v>73</v>
      </c>
      <c r="E26" t="s">
        <v>101</v>
      </c>
      <c r="F26" t="s">
        <v>86</v>
      </c>
      <c r="G26">
        <v>2</v>
      </c>
      <c r="H26" s="3">
        <v>41740</v>
      </c>
      <c r="I26" s="3">
        <v>83480</v>
      </c>
      <c r="J26" t="s">
        <v>82</v>
      </c>
      <c r="K26" t="s">
        <v>83</v>
      </c>
      <c r="L26" t="str">
        <f t="shared" si="0"/>
        <v>Thursday</v>
      </c>
    </row>
    <row r="27" spans="1:12" ht="14.25" customHeight="1" x14ac:dyDescent="0.45">
      <c r="A27" t="s">
        <v>189</v>
      </c>
      <c r="B27" s="2" t="s">
        <v>190</v>
      </c>
      <c r="C27" t="s">
        <v>96</v>
      </c>
      <c r="D27" t="s">
        <v>73</v>
      </c>
      <c r="E27" t="s">
        <v>104</v>
      </c>
      <c r="F27" t="s">
        <v>90</v>
      </c>
      <c r="G27">
        <v>1</v>
      </c>
      <c r="H27" s="3">
        <v>55990</v>
      </c>
      <c r="I27" s="3">
        <v>55990</v>
      </c>
      <c r="J27" t="s">
        <v>76</v>
      </c>
      <c r="K27" t="s">
        <v>77</v>
      </c>
      <c r="L27" t="str">
        <f t="shared" si="0"/>
        <v>Tuesday</v>
      </c>
    </row>
    <row r="28" spans="1:12" ht="14.25" customHeight="1" x14ac:dyDescent="0.45">
      <c r="A28" t="s">
        <v>933</v>
      </c>
      <c r="B28" s="2" t="s">
        <v>693</v>
      </c>
      <c r="C28" t="s">
        <v>89</v>
      </c>
      <c r="D28" t="s">
        <v>472</v>
      </c>
      <c r="E28" t="s">
        <v>473</v>
      </c>
      <c r="F28" t="s">
        <v>123</v>
      </c>
      <c r="G28">
        <v>1</v>
      </c>
      <c r="H28" s="3">
        <v>2340</v>
      </c>
      <c r="I28" s="3">
        <v>2340</v>
      </c>
      <c r="J28" t="s">
        <v>82</v>
      </c>
      <c r="K28" t="s">
        <v>77</v>
      </c>
      <c r="L28" t="str">
        <f t="shared" si="0"/>
        <v>Friday</v>
      </c>
    </row>
    <row r="29" spans="1:12" ht="14.25" customHeight="1" x14ac:dyDescent="0.45">
      <c r="A29" t="s">
        <v>235</v>
      </c>
      <c r="B29" s="2" t="s">
        <v>135</v>
      </c>
      <c r="C29" t="s">
        <v>89</v>
      </c>
      <c r="D29" t="s">
        <v>73</v>
      </c>
      <c r="E29" t="s">
        <v>101</v>
      </c>
      <c r="F29" t="s">
        <v>107</v>
      </c>
      <c r="G29">
        <v>1</v>
      </c>
      <c r="H29" s="3">
        <v>42620</v>
      </c>
      <c r="I29" s="3">
        <v>42620</v>
      </c>
      <c r="J29" t="s">
        <v>82</v>
      </c>
      <c r="K29" t="s">
        <v>93</v>
      </c>
      <c r="L29" t="str">
        <f t="shared" si="0"/>
        <v>Saturday</v>
      </c>
    </row>
    <row r="30" spans="1:12" ht="14.25" customHeight="1" x14ac:dyDescent="0.45">
      <c r="A30" t="s">
        <v>829</v>
      </c>
      <c r="B30" s="2" t="s">
        <v>593</v>
      </c>
      <c r="C30" t="s">
        <v>96</v>
      </c>
      <c r="D30" t="s">
        <v>334</v>
      </c>
      <c r="E30" t="s">
        <v>515</v>
      </c>
      <c r="F30" t="s">
        <v>107</v>
      </c>
      <c r="G30">
        <v>2</v>
      </c>
      <c r="H30" s="3">
        <v>1520</v>
      </c>
      <c r="I30" s="3">
        <v>3040</v>
      </c>
      <c r="J30" t="s">
        <v>82</v>
      </c>
      <c r="K30" t="s">
        <v>83</v>
      </c>
      <c r="L30" t="str">
        <f t="shared" si="0"/>
        <v>Saturday</v>
      </c>
    </row>
    <row r="31" spans="1:12" ht="14.25" customHeight="1" x14ac:dyDescent="0.45">
      <c r="A31" t="s">
        <v>867</v>
      </c>
      <c r="B31" s="2" t="s">
        <v>79</v>
      </c>
      <c r="C31" t="s">
        <v>72</v>
      </c>
      <c r="D31" t="s">
        <v>398</v>
      </c>
      <c r="E31" t="s">
        <v>464</v>
      </c>
      <c r="F31" t="s">
        <v>107</v>
      </c>
      <c r="G31">
        <v>1</v>
      </c>
      <c r="H31" s="3">
        <v>2650</v>
      </c>
      <c r="I31" s="3">
        <v>2650</v>
      </c>
      <c r="J31" t="s">
        <v>82</v>
      </c>
      <c r="K31" t="s">
        <v>77</v>
      </c>
      <c r="L31" t="str">
        <f t="shared" si="0"/>
        <v>Thursday</v>
      </c>
    </row>
    <row r="32" spans="1:12" ht="14.25" customHeight="1" x14ac:dyDescent="0.45">
      <c r="A32" t="s">
        <v>274</v>
      </c>
      <c r="B32" s="2" t="s">
        <v>175</v>
      </c>
      <c r="C32" t="s">
        <v>100</v>
      </c>
      <c r="D32" t="s">
        <v>196</v>
      </c>
      <c r="E32" t="s">
        <v>246</v>
      </c>
      <c r="F32" t="s">
        <v>107</v>
      </c>
      <c r="G32">
        <v>2</v>
      </c>
      <c r="H32" s="3">
        <v>13720</v>
      </c>
      <c r="I32" s="3">
        <v>27440</v>
      </c>
      <c r="J32" t="s">
        <v>82</v>
      </c>
      <c r="K32" t="s">
        <v>83</v>
      </c>
      <c r="L32" t="str">
        <f t="shared" si="0"/>
        <v>Saturday</v>
      </c>
    </row>
    <row r="33" spans="1:12" ht="14.25" customHeight="1" x14ac:dyDescent="0.45">
      <c r="A33" t="s">
        <v>649</v>
      </c>
      <c r="B33" s="2" t="s">
        <v>414</v>
      </c>
      <c r="C33" t="s">
        <v>89</v>
      </c>
      <c r="D33" t="s">
        <v>398</v>
      </c>
      <c r="E33" t="s">
        <v>462</v>
      </c>
      <c r="F33" t="s">
        <v>131</v>
      </c>
      <c r="G33">
        <v>2</v>
      </c>
      <c r="H33" s="3">
        <v>2100</v>
      </c>
      <c r="I33" s="3">
        <v>4200</v>
      </c>
      <c r="J33" t="s">
        <v>76</v>
      </c>
      <c r="K33" t="s">
        <v>83</v>
      </c>
      <c r="L33" t="str">
        <f t="shared" si="0"/>
        <v>Friday</v>
      </c>
    </row>
    <row r="34" spans="1:12" ht="14.25" customHeight="1" x14ac:dyDescent="0.45">
      <c r="A34" t="s">
        <v>438</v>
      </c>
      <c r="B34" s="2" t="s">
        <v>439</v>
      </c>
      <c r="C34" t="s">
        <v>89</v>
      </c>
      <c r="D34" t="s">
        <v>334</v>
      </c>
      <c r="E34" t="s">
        <v>335</v>
      </c>
      <c r="F34" t="s">
        <v>107</v>
      </c>
      <c r="G34">
        <v>3</v>
      </c>
      <c r="H34" s="3">
        <v>3760</v>
      </c>
      <c r="I34" s="3">
        <v>11280</v>
      </c>
      <c r="J34" t="s">
        <v>76</v>
      </c>
      <c r="K34" t="s">
        <v>83</v>
      </c>
      <c r="L34" t="str">
        <f t="shared" si="0"/>
        <v>Saturday</v>
      </c>
    </row>
    <row r="35" spans="1:12" ht="14.25" customHeight="1" x14ac:dyDescent="0.45">
      <c r="A35" t="s">
        <v>705</v>
      </c>
      <c r="B35" s="2" t="s">
        <v>656</v>
      </c>
      <c r="C35" t="s">
        <v>72</v>
      </c>
      <c r="D35" t="s">
        <v>334</v>
      </c>
      <c r="E35" t="s">
        <v>335</v>
      </c>
      <c r="F35" t="s">
        <v>107</v>
      </c>
      <c r="G35">
        <v>1</v>
      </c>
      <c r="H35" s="3">
        <v>3720</v>
      </c>
      <c r="I35" s="3">
        <v>3720</v>
      </c>
      <c r="J35" t="s">
        <v>82</v>
      </c>
      <c r="K35" t="s">
        <v>93</v>
      </c>
      <c r="L35" t="str">
        <f t="shared" si="0"/>
        <v>Sunday</v>
      </c>
    </row>
    <row r="36" spans="1:12" ht="14.25" customHeight="1" x14ac:dyDescent="0.45">
      <c r="A36" t="s">
        <v>201</v>
      </c>
      <c r="B36" s="2" t="s">
        <v>202</v>
      </c>
      <c r="C36" t="s">
        <v>96</v>
      </c>
      <c r="D36" t="s">
        <v>73</v>
      </c>
      <c r="E36" t="s">
        <v>104</v>
      </c>
      <c r="F36" t="s">
        <v>107</v>
      </c>
      <c r="G36">
        <v>1</v>
      </c>
      <c r="H36" s="3">
        <v>54100</v>
      </c>
      <c r="I36" s="3">
        <v>54100</v>
      </c>
      <c r="J36" t="s">
        <v>76</v>
      </c>
      <c r="K36" t="s">
        <v>83</v>
      </c>
      <c r="L36" t="str">
        <f t="shared" si="0"/>
        <v>Sunday</v>
      </c>
    </row>
    <row r="37" spans="1:12" ht="14.25" customHeight="1" x14ac:dyDescent="0.45">
      <c r="A37" t="s">
        <v>631</v>
      </c>
      <c r="B37" s="2" t="s">
        <v>632</v>
      </c>
      <c r="C37" t="s">
        <v>96</v>
      </c>
      <c r="D37" t="s">
        <v>398</v>
      </c>
      <c r="E37" t="s">
        <v>448</v>
      </c>
      <c r="F37" t="s">
        <v>107</v>
      </c>
      <c r="G37">
        <v>2</v>
      </c>
      <c r="H37" s="3">
        <v>2140</v>
      </c>
      <c r="I37" s="3">
        <v>4280</v>
      </c>
      <c r="J37" t="s">
        <v>82</v>
      </c>
      <c r="K37" t="s">
        <v>83</v>
      </c>
      <c r="L37" t="str">
        <f t="shared" si="0"/>
        <v>Thursday</v>
      </c>
    </row>
    <row r="38" spans="1:12" ht="14.25" customHeight="1" x14ac:dyDescent="0.45">
      <c r="A38" t="s">
        <v>498</v>
      </c>
      <c r="B38" s="2" t="s">
        <v>242</v>
      </c>
      <c r="C38" t="s">
        <v>96</v>
      </c>
      <c r="D38" t="s">
        <v>398</v>
      </c>
      <c r="E38" t="s">
        <v>399</v>
      </c>
      <c r="F38" t="s">
        <v>81</v>
      </c>
      <c r="G38">
        <v>2</v>
      </c>
      <c r="H38" s="3">
        <v>3200</v>
      </c>
      <c r="I38" s="3">
        <v>6400</v>
      </c>
      <c r="J38" t="s">
        <v>76</v>
      </c>
      <c r="K38" t="s">
        <v>83</v>
      </c>
      <c r="L38" t="str">
        <f t="shared" si="0"/>
        <v>Tuesday</v>
      </c>
    </row>
    <row r="39" spans="1:12" ht="14.25" customHeight="1" x14ac:dyDescent="0.45">
      <c r="A39" t="s">
        <v>1217</v>
      </c>
      <c r="B39" s="2" t="s">
        <v>115</v>
      </c>
      <c r="C39" t="s">
        <v>96</v>
      </c>
      <c r="D39" t="s">
        <v>472</v>
      </c>
      <c r="E39" t="s">
        <v>557</v>
      </c>
      <c r="F39" t="s">
        <v>131</v>
      </c>
      <c r="G39">
        <v>1</v>
      </c>
      <c r="H39" s="3">
        <v>1160</v>
      </c>
      <c r="I39" s="3">
        <v>1160</v>
      </c>
      <c r="J39" t="s">
        <v>76</v>
      </c>
      <c r="K39" t="s">
        <v>83</v>
      </c>
      <c r="L39" t="str">
        <f t="shared" si="0"/>
        <v>Friday</v>
      </c>
    </row>
    <row r="40" spans="1:12" ht="14.25" customHeight="1" x14ac:dyDescent="0.45">
      <c r="A40" t="s">
        <v>1149</v>
      </c>
      <c r="B40" s="2" t="s">
        <v>298</v>
      </c>
      <c r="C40" t="s">
        <v>89</v>
      </c>
      <c r="D40" t="s">
        <v>334</v>
      </c>
      <c r="E40" t="s">
        <v>515</v>
      </c>
      <c r="F40" t="s">
        <v>75</v>
      </c>
      <c r="G40">
        <v>1</v>
      </c>
      <c r="H40" s="3">
        <v>1510</v>
      </c>
      <c r="I40" s="3">
        <v>1510</v>
      </c>
      <c r="J40" t="s">
        <v>82</v>
      </c>
      <c r="K40" t="s">
        <v>77</v>
      </c>
      <c r="L40" t="str">
        <f t="shared" si="0"/>
        <v>Friday</v>
      </c>
    </row>
    <row r="41" spans="1:12" ht="14.25" customHeight="1" x14ac:dyDescent="0.45">
      <c r="A41" t="s">
        <v>673</v>
      </c>
      <c r="B41" s="2" t="s">
        <v>430</v>
      </c>
      <c r="C41" t="s">
        <v>89</v>
      </c>
      <c r="D41" t="s">
        <v>334</v>
      </c>
      <c r="E41" t="s">
        <v>402</v>
      </c>
      <c r="F41" t="s">
        <v>107</v>
      </c>
      <c r="G41">
        <v>1</v>
      </c>
      <c r="H41" s="3">
        <v>4050</v>
      </c>
      <c r="I41" s="3">
        <v>4050</v>
      </c>
      <c r="J41" t="s">
        <v>82</v>
      </c>
      <c r="K41" t="s">
        <v>93</v>
      </c>
      <c r="L41" t="str">
        <f t="shared" si="0"/>
        <v>Friday</v>
      </c>
    </row>
    <row r="42" spans="1:12" ht="14.25" customHeight="1" x14ac:dyDescent="0.45">
      <c r="A42" t="s">
        <v>918</v>
      </c>
      <c r="B42" s="2" t="s">
        <v>919</v>
      </c>
      <c r="C42" t="s">
        <v>89</v>
      </c>
      <c r="D42" t="s">
        <v>472</v>
      </c>
      <c r="E42" t="s">
        <v>473</v>
      </c>
      <c r="F42" t="s">
        <v>90</v>
      </c>
      <c r="G42">
        <v>1</v>
      </c>
      <c r="H42" s="3">
        <v>2410</v>
      </c>
      <c r="I42" s="3">
        <v>2410</v>
      </c>
      <c r="J42" t="s">
        <v>76</v>
      </c>
      <c r="K42" t="s">
        <v>93</v>
      </c>
      <c r="L42" t="str">
        <f t="shared" si="0"/>
        <v>Saturday</v>
      </c>
    </row>
    <row r="43" spans="1:12" ht="14.25" customHeight="1" x14ac:dyDescent="0.45">
      <c r="A43" t="s">
        <v>956</v>
      </c>
      <c r="B43" s="2" t="s">
        <v>177</v>
      </c>
      <c r="C43" t="s">
        <v>96</v>
      </c>
      <c r="D43" t="s">
        <v>398</v>
      </c>
      <c r="E43" t="s">
        <v>448</v>
      </c>
      <c r="F43" t="s">
        <v>81</v>
      </c>
      <c r="G43">
        <v>1</v>
      </c>
      <c r="H43" s="3">
        <v>2240</v>
      </c>
      <c r="I43" s="3">
        <v>2240</v>
      </c>
      <c r="J43" t="s">
        <v>82</v>
      </c>
      <c r="K43" t="s">
        <v>77</v>
      </c>
      <c r="L43" t="str">
        <f t="shared" si="0"/>
        <v>Tuesday</v>
      </c>
    </row>
    <row r="44" spans="1:12" ht="14.25" customHeight="1" x14ac:dyDescent="0.45">
      <c r="A44" t="s">
        <v>862</v>
      </c>
      <c r="B44" s="2" t="s">
        <v>192</v>
      </c>
      <c r="C44" t="s">
        <v>89</v>
      </c>
      <c r="D44" t="s">
        <v>73</v>
      </c>
      <c r="E44" t="s">
        <v>441</v>
      </c>
      <c r="F44" t="s">
        <v>90</v>
      </c>
      <c r="G44">
        <v>1</v>
      </c>
      <c r="H44" s="3">
        <v>2710</v>
      </c>
      <c r="I44" s="3">
        <v>2710</v>
      </c>
      <c r="J44" t="s">
        <v>76</v>
      </c>
      <c r="K44" t="s">
        <v>83</v>
      </c>
      <c r="L44" t="str">
        <f t="shared" si="0"/>
        <v>Saturday</v>
      </c>
    </row>
    <row r="45" spans="1:12" ht="14.25" customHeight="1" x14ac:dyDescent="0.45">
      <c r="A45" t="s">
        <v>710</v>
      </c>
      <c r="B45" s="2" t="s">
        <v>376</v>
      </c>
      <c r="C45" t="s">
        <v>89</v>
      </c>
      <c r="D45" t="s">
        <v>334</v>
      </c>
      <c r="E45" t="s">
        <v>527</v>
      </c>
      <c r="F45" t="s">
        <v>97</v>
      </c>
      <c r="G45">
        <v>2</v>
      </c>
      <c r="H45" s="3">
        <v>1850</v>
      </c>
      <c r="I45" s="3">
        <v>3700</v>
      </c>
      <c r="J45" t="s">
        <v>76</v>
      </c>
      <c r="K45" t="s">
        <v>93</v>
      </c>
      <c r="L45" t="str">
        <f t="shared" si="0"/>
        <v>Friday</v>
      </c>
    </row>
    <row r="46" spans="1:12" ht="14.25" customHeight="1" x14ac:dyDescent="0.45">
      <c r="A46" t="s">
        <v>1164</v>
      </c>
      <c r="B46" s="2" t="s">
        <v>162</v>
      </c>
      <c r="C46" t="s">
        <v>72</v>
      </c>
      <c r="D46" t="s">
        <v>334</v>
      </c>
      <c r="E46" t="s">
        <v>515</v>
      </c>
      <c r="F46" t="s">
        <v>81</v>
      </c>
      <c r="G46">
        <v>1</v>
      </c>
      <c r="H46" s="3">
        <v>1450</v>
      </c>
      <c r="I46" s="3">
        <v>1450</v>
      </c>
      <c r="J46" t="s">
        <v>76</v>
      </c>
      <c r="K46" t="s">
        <v>77</v>
      </c>
      <c r="L46" t="str">
        <f t="shared" si="0"/>
        <v>Sunday</v>
      </c>
    </row>
    <row r="47" spans="1:12" ht="14.25" customHeight="1" x14ac:dyDescent="0.45">
      <c r="A47" t="s">
        <v>650</v>
      </c>
      <c r="B47" s="2" t="s">
        <v>71</v>
      </c>
      <c r="C47" t="s">
        <v>96</v>
      </c>
      <c r="D47" t="s">
        <v>398</v>
      </c>
      <c r="E47" t="s">
        <v>462</v>
      </c>
      <c r="F47" t="s">
        <v>117</v>
      </c>
      <c r="G47">
        <v>2</v>
      </c>
      <c r="H47" s="3">
        <v>2100</v>
      </c>
      <c r="I47" s="3">
        <v>4200</v>
      </c>
      <c r="J47" t="s">
        <v>82</v>
      </c>
      <c r="K47" t="s">
        <v>83</v>
      </c>
      <c r="L47" t="str">
        <f t="shared" si="0"/>
        <v>Friday</v>
      </c>
    </row>
    <row r="48" spans="1:12" ht="14.25" customHeight="1" x14ac:dyDescent="0.45">
      <c r="A48" t="s">
        <v>287</v>
      </c>
      <c r="B48" s="2" t="s">
        <v>251</v>
      </c>
      <c r="C48" t="s">
        <v>100</v>
      </c>
      <c r="D48" t="s">
        <v>73</v>
      </c>
      <c r="E48" t="s">
        <v>211</v>
      </c>
      <c r="F48" t="s">
        <v>86</v>
      </c>
      <c r="G48">
        <v>2</v>
      </c>
      <c r="H48" s="3">
        <v>11910</v>
      </c>
      <c r="I48" s="3">
        <v>23820</v>
      </c>
      <c r="J48" t="s">
        <v>82</v>
      </c>
      <c r="K48" t="s">
        <v>77</v>
      </c>
      <c r="L48" t="str">
        <f t="shared" si="0"/>
        <v>Friday</v>
      </c>
    </row>
    <row r="49" spans="1:12" ht="14.25" customHeight="1" x14ac:dyDescent="0.45">
      <c r="A49" t="s">
        <v>996</v>
      </c>
      <c r="B49" s="2" t="s">
        <v>227</v>
      </c>
      <c r="C49" t="s">
        <v>89</v>
      </c>
      <c r="D49" t="s">
        <v>398</v>
      </c>
      <c r="E49" t="s">
        <v>462</v>
      </c>
      <c r="F49" t="s">
        <v>131</v>
      </c>
      <c r="G49">
        <v>1</v>
      </c>
      <c r="H49" s="3">
        <v>2100</v>
      </c>
      <c r="I49" s="3">
        <v>2100</v>
      </c>
      <c r="J49" t="s">
        <v>82</v>
      </c>
      <c r="K49" t="s">
        <v>83</v>
      </c>
      <c r="L49" t="str">
        <f t="shared" si="0"/>
        <v>Sunday</v>
      </c>
    </row>
    <row r="50" spans="1:12" ht="14.25" customHeight="1" x14ac:dyDescent="0.45">
      <c r="A50" t="s">
        <v>355</v>
      </c>
      <c r="B50" s="2" t="s">
        <v>148</v>
      </c>
      <c r="C50" t="s">
        <v>89</v>
      </c>
      <c r="D50" t="s">
        <v>334</v>
      </c>
      <c r="E50" t="s">
        <v>335</v>
      </c>
      <c r="F50" t="s">
        <v>131</v>
      </c>
      <c r="G50">
        <v>4</v>
      </c>
      <c r="H50" s="3">
        <v>3810</v>
      </c>
      <c r="I50" s="3">
        <v>15240</v>
      </c>
      <c r="J50" t="s">
        <v>76</v>
      </c>
      <c r="K50" t="s">
        <v>77</v>
      </c>
      <c r="L50" t="str">
        <f t="shared" si="0"/>
        <v>Sunday</v>
      </c>
    </row>
    <row r="51" spans="1:12" ht="14.25" customHeight="1" x14ac:dyDescent="0.45">
      <c r="A51" t="s">
        <v>469</v>
      </c>
      <c r="B51" s="2" t="s">
        <v>190</v>
      </c>
      <c r="C51" t="s">
        <v>96</v>
      </c>
      <c r="D51" t="s">
        <v>334</v>
      </c>
      <c r="E51" t="s">
        <v>335</v>
      </c>
      <c r="F51" t="s">
        <v>123</v>
      </c>
      <c r="G51">
        <v>2</v>
      </c>
      <c r="H51" s="3">
        <v>3780</v>
      </c>
      <c r="I51" s="3">
        <v>7560</v>
      </c>
      <c r="J51" t="s">
        <v>76</v>
      </c>
      <c r="K51" t="s">
        <v>77</v>
      </c>
      <c r="L51" t="str">
        <f t="shared" si="0"/>
        <v>Tuesday</v>
      </c>
    </row>
    <row r="52" spans="1:12" ht="14.25" customHeight="1" x14ac:dyDescent="0.45">
      <c r="A52" t="s">
        <v>1234</v>
      </c>
      <c r="B52" s="2" t="s">
        <v>552</v>
      </c>
      <c r="C52" t="s">
        <v>89</v>
      </c>
      <c r="D52" t="s">
        <v>472</v>
      </c>
      <c r="E52" t="s">
        <v>691</v>
      </c>
      <c r="F52" t="s">
        <v>131</v>
      </c>
      <c r="G52">
        <v>1</v>
      </c>
      <c r="H52" s="3">
        <v>970</v>
      </c>
      <c r="I52" s="3">
        <v>970</v>
      </c>
      <c r="J52" t="s">
        <v>76</v>
      </c>
      <c r="K52" t="s">
        <v>83</v>
      </c>
      <c r="L52" t="str">
        <f t="shared" si="0"/>
        <v>Saturday</v>
      </c>
    </row>
    <row r="53" spans="1:12" ht="14.25" customHeight="1" x14ac:dyDescent="0.45">
      <c r="A53" t="s">
        <v>1205</v>
      </c>
      <c r="B53" s="2" t="s">
        <v>387</v>
      </c>
      <c r="C53" t="s">
        <v>96</v>
      </c>
      <c r="D53" t="s">
        <v>472</v>
      </c>
      <c r="E53" t="s">
        <v>557</v>
      </c>
      <c r="F53" t="s">
        <v>117</v>
      </c>
      <c r="G53">
        <v>1</v>
      </c>
      <c r="H53" s="3">
        <v>1190</v>
      </c>
      <c r="I53" s="3">
        <v>1190</v>
      </c>
      <c r="J53" t="s">
        <v>82</v>
      </c>
      <c r="K53" t="s">
        <v>93</v>
      </c>
      <c r="L53" t="str">
        <f t="shared" si="0"/>
        <v>Thursday</v>
      </c>
    </row>
    <row r="54" spans="1:12" ht="14.25" customHeight="1" x14ac:dyDescent="0.45">
      <c r="A54" t="s">
        <v>642</v>
      </c>
      <c r="B54" s="2" t="s">
        <v>146</v>
      </c>
      <c r="C54" t="s">
        <v>72</v>
      </c>
      <c r="D54" t="s">
        <v>334</v>
      </c>
      <c r="E54" t="s">
        <v>402</v>
      </c>
      <c r="F54" t="s">
        <v>131</v>
      </c>
      <c r="G54">
        <v>1</v>
      </c>
      <c r="H54" s="3">
        <v>4230</v>
      </c>
      <c r="I54" s="3">
        <v>4230</v>
      </c>
      <c r="J54" t="s">
        <v>82</v>
      </c>
      <c r="K54" t="s">
        <v>77</v>
      </c>
      <c r="L54" t="str">
        <f t="shared" si="0"/>
        <v>Saturday</v>
      </c>
    </row>
    <row r="55" spans="1:12" ht="14.25" customHeight="1" x14ac:dyDescent="0.45">
      <c r="A55" t="s">
        <v>538</v>
      </c>
      <c r="B55" s="2" t="s">
        <v>234</v>
      </c>
      <c r="C55" t="s">
        <v>72</v>
      </c>
      <c r="D55" t="s">
        <v>398</v>
      </c>
      <c r="E55" t="s">
        <v>464</v>
      </c>
      <c r="F55" t="s">
        <v>140</v>
      </c>
      <c r="G55">
        <v>2</v>
      </c>
      <c r="H55" s="3">
        <v>2700</v>
      </c>
      <c r="I55" s="3">
        <v>5400</v>
      </c>
      <c r="J55" t="s">
        <v>76</v>
      </c>
      <c r="K55" t="s">
        <v>77</v>
      </c>
      <c r="L55" t="str">
        <f t="shared" si="0"/>
        <v>Monday</v>
      </c>
    </row>
    <row r="56" spans="1:12" ht="14.25" customHeight="1" x14ac:dyDescent="0.45">
      <c r="A56" t="s">
        <v>429</v>
      </c>
      <c r="B56" s="2" t="s">
        <v>430</v>
      </c>
      <c r="C56" t="s">
        <v>100</v>
      </c>
      <c r="D56" t="s">
        <v>73</v>
      </c>
      <c r="E56" t="s">
        <v>211</v>
      </c>
      <c r="F56" t="s">
        <v>131</v>
      </c>
      <c r="G56">
        <v>1</v>
      </c>
      <c r="H56" s="3">
        <v>11770</v>
      </c>
      <c r="I56" s="3">
        <v>11770</v>
      </c>
      <c r="J56" t="s">
        <v>82</v>
      </c>
      <c r="K56" t="s">
        <v>83</v>
      </c>
      <c r="L56" t="str">
        <f t="shared" si="0"/>
        <v>Friday</v>
      </c>
    </row>
    <row r="57" spans="1:12" ht="14.25" customHeight="1" x14ac:dyDescent="0.45">
      <c r="A57" t="s">
        <v>446</v>
      </c>
      <c r="B57" s="2" t="s">
        <v>152</v>
      </c>
      <c r="C57" t="s">
        <v>96</v>
      </c>
      <c r="D57" t="s">
        <v>196</v>
      </c>
      <c r="E57" t="s">
        <v>300</v>
      </c>
      <c r="F57" t="s">
        <v>123</v>
      </c>
      <c r="G57">
        <v>2</v>
      </c>
      <c r="H57" s="3">
        <v>4650</v>
      </c>
      <c r="I57" s="3">
        <v>9300</v>
      </c>
      <c r="J57" t="s">
        <v>76</v>
      </c>
      <c r="K57" t="s">
        <v>83</v>
      </c>
      <c r="L57" t="str">
        <f t="shared" si="0"/>
        <v>Monday</v>
      </c>
    </row>
    <row r="58" spans="1:12" ht="14.25" customHeight="1" x14ac:dyDescent="0.45">
      <c r="A58" t="s">
        <v>672</v>
      </c>
      <c r="B58" s="2" t="s">
        <v>422</v>
      </c>
      <c r="C58" t="s">
        <v>96</v>
      </c>
      <c r="D58" t="s">
        <v>398</v>
      </c>
      <c r="E58" t="s">
        <v>462</v>
      </c>
      <c r="F58" t="s">
        <v>131</v>
      </c>
      <c r="G58">
        <v>2</v>
      </c>
      <c r="H58" s="3">
        <v>2030</v>
      </c>
      <c r="I58" s="3">
        <v>4060</v>
      </c>
      <c r="J58" t="s">
        <v>76</v>
      </c>
      <c r="K58" t="s">
        <v>93</v>
      </c>
      <c r="L58" t="str">
        <f t="shared" si="0"/>
        <v>Wednesday</v>
      </c>
    </row>
    <row r="59" spans="1:12" ht="14.25" customHeight="1" x14ac:dyDescent="0.45">
      <c r="A59" t="s">
        <v>1012</v>
      </c>
      <c r="B59" s="2" t="s">
        <v>229</v>
      </c>
      <c r="C59" t="s">
        <v>80</v>
      </c>
      <c r="D59" t="s">
        <v>472</v>
      </c>
      <c r="E59" t="s">
        <v>691</v>
      </c>
      <c r="F59" t="s">
        <v>97</v>
      </c>
      <c r="G59">
        <v>2</v>
      </c>
      <c r="H59" s="3">
        <v>980</v>
      </c>
      <c r="I59" s="3">
        <v>1960</v>
      </c>
      <c r="J59" t="s">
        <v>76</v>
      </c>
      <c r="K59" t="s">
        <v>77</v>
      </c>
      <c r="L59" t="str">
        <f t="shared" si="0"/>
        <v>Tuesday</v>
      </c>
    </row>
    <row r="60" spans="1:12" ht="14.25" customHeight="1" x14ac:dyDescent="0.45">
      <c r="A60" t="s">
        <v>426</v>
      </c>
      <c r="B60" s="2" t="s">
        <v>125</v>
      </c>
      <c r="C60" t="s">
        <v>100</v>
      </c>
      <c r="D60" t="s">
        <v>73</v>
      </c>
      <c r="E60" t="s">
        <v>211</v>
      </c>
      <c r="F60" t="s">
        <v>90</v>
      </c>
      <c r="G60">
        <v>1</v>
      </c>
      <c r="H60" s="3">
        <v>11830</v>
      </c>
      <c r="I60" s="3">
        <v>11830</v>
      </c>
      <c r="J60" t="s">
        <v>76</v>
      </c>
      <c r="K60" t="s">
        <v>83</v>
      </c>
      <c r="L60" t="str">
        <f t="shared" si="0"/>
        <v>Friday</v>
      </c>
    </row>
    <row r="61" spans="1:12" ht="14.25" customHeight="1" x14ac:dyDescent="0.45">
      <c r="A61" t="s">
        <v>151</v>
      </c>
      <c r="B61" s="2" t="s">
        <v>152</v>
      </c>
      <c r="C61" t="s">
        <v>80</v>
      </c>
      <c r="D61" t="s">
        <v>73</v>
      </c>
      <c r="E61" t="s">
        <v>74</v>
      </c>
      <c r="F61" t="s">
        <v>140</v>
      </c>
      <c r="G61">
        <v>1</v>
      </c>
      <c r="H61" s="3">
        <v>94620</v>
      </c>
      <c r="I61" s="3">
        <v>94620</v>
      </c>
      <c r="J61" t="s">
        <v>76</v>
      </c>
      <c r="K61" t="s">
        <v>93</v>
      </c>
      <c r="L61" t="str">
        <f t="shared" si="0"/>
        <v>Monday</v>
      </c>
    </row>
    <row r="62" spans="1:12" ht="14.25" customHeight="1" x14ac:dyDescent="0.45">
      <c r="A62" t="s">
        <v>1159</v>
      </c>
      <c r="B62" s="2" t="s">
        <v>556</v>
      </c>
      <c r="C62" t="s">
        <v>89</v>
      </c>
      <c r="D62" t="s">
        <v>334</v>
      </c>
      <c r="E62" t="s">
        <v>515</v>
      </c>
      <c r="F62" t="s">
        <v>75</v>
      </c>
      <c r="G62">
        <v>1</v>
      </c>
      <c r="H62" s="3">
        <v>1470</v>
      </c>
      <c r="I62" s="3">
        <v>1470</v>
      </c>
      <c r="J62" t="s">
        <v>76</v>
      </c>
      <c r="K62" t="s">
        <v>77</v>
      </c>
      <c r="L62" t="str">
        <f t="shared" si="0"/>
        <v>Monday</v>
      </c>
    </row>
    <row r="63" spans="1:12" ht="14.25" customHeight="1" x14ac:dyDescent="0.45">
      <c r="A63" t="s">
        <v>849</v>
      </c>
      <c r="B63" s="2" t="s">
        <v>648</v>
      </c>
      <c r="C63" t="s">
        <v>72</v>
      </c>
      <c r="D63" t="s">
        <v>73</v>
      </c>
      <c r="E63" t="s">
        <v>441</v>
      </c>
      <c r="F63" t="s">
        <v>123</v>
      </c>
      <c r="G63">
        <v>1</v>
      </c>
      <c r="H63" s="3">
        <v>2830</v>
      </c>
      <c r="I63" s="3">
        <v>2830</v>
      </c>
      <c r="J63" t="s">
        <v>76</v>
      </c>
      <c r="K63" t="s">
        <v>93</v>
      </c>
      <c r="L63" t="str">
        <f t="shared" si="0"/>
        <v>Monday</v>
      </c>
    </row>
    <row r="64" spans="1:12" ht="14.25" customHeight="1" x14ac:dyDescent="0.45">
      <c r="A64" t="s">
        <v>1170</v>
      </c>
      <c r="B64" s="2" t="s">
        <v>569</v>
      </c>
      <c r="C64" t="s">
        <v>89</v>
      </c>
      <c r="D64" t="s">
        <v>472</v>
      </c>
      <c r="E64" t="s">
        <v>557</v>
      </c>
      <c r="F64" t="s">
        <v>123</v>
      </c>
      <c r="G64">
        <v>1</v>
      </c>
      <c r="H64" s="3">
        <v>1240</v>
      </c>
      <c r="I64" s="3">
        <v>1240</v>
      </c>
      <c r="J64" t="s">
        <v>82</v>
      </c>
      <c r="K64" t="s">
        <v>77</v>
      </c>
      <c r="L64" t="str">
        <f t="shared" si="0"/>
        <v>Tuesday</v>
      </c>
    </row>
    <row r="65" spans="1:12" ht="14.25" customHeight="1" x14ac:dyDescent="0.45">
      <c r="A65" t="s">
        <v>943</v>
      </c>
      <c r="B65" s="2" t="s">
        <v>391</v>
      </c>
      <c r="C65" t="s">
        <v>89</v>
      </c>
      <c r="D65" t="s">
        <v>472</v>
      </c>
      <c r="E65" t="s">
        <v>473</v>
      </c>
      <c r="F65" t="s">
        <v>86</v>
      </c>
      <c r="G65">
        <v>1</v>
      </c>
      <c r="H65" s="3">
        <v>2310</v>
      </c>
      <c r="I65" s="3">
        <v>2310</v>
      </c>
      <c r="J65" t="s">
        <v>76</v>
      </c>
      <c r="K65" t="s">
        <v>83</v>
      </c>
      <c r="L65" t="str">
        <f t="shared" si="0"/>
        <v>Monday</v>
      </c>
    </row>
    <row r="66" spans="1:12" ht="14.25" customHeight="1" x14ac:dyDescent="0.45">
      <c r="A66" t="s">
        <v>1026</v>
      </c>
      <c r="B66" s="2" t="s">
        <v>256</v>
      </c>
      <c r="C66" t="s">
        <v>80</v>
      </c>
      <c r="D66" t="s">
        <v>334</v>
      </c>
      <c r="E66" t="s">
        <v>527</v>
      </c>
      <c r="F66" t="s">
        <v>75</v>
      </c>
      <c r="G66">
        <v>1</v>
      </c>
      <c r="H66" s="3">
        <v>1910</v>
      </c>
      <c r="I66" s="3">
        <v>1910</v>
      </c>
      <c r="J66" t="s">
        <v>76</v>
      </c>
      <c r="K66" t="s">
        <v>93</v>
      </c>
      <c r="L66" t="str">
        <f t="shared" ref="L66:L129" si="1">TEXT(B66,"dddd")</f>
        <v>Tuesday</v>
      </c>
    </row>
    <row r="67" spans="1:12" ht="14.25" customHeight="1" x14ac:dyDescent="0.45">
      <c r="A67" t="s">
        <v>773</v>
      </c>
      <c r="B67" s="2" t="s">
        <v>595</v>
      </c>
      <c r="C67" t="s">
        <v>96</v>
      </c>
      <c r="D67" t="s">
        <v>398</v>
      </c>
      <c r="E67" t="s">
        <v>399</v>
      </c>
      <c r="F67" t="s">
        <v>97</v>
      </c>
      <c r="G67">
        <v>1</v>
      </c>
      <c r="H67" s="3">
        <v>3180</v>
      </c>
      <c r="I67" s="3">
        <v>3180</v>
      </c>
      <c r="J67" t="s">
        <v>76</v>
      </c>
      <c r="K67" t="s">
        <v>83</v>
      </c>
      <c r="L67" t="str">
        <f t="shared" si="1"/>
        <v>Wednesday</v>
      </c>
    </row>
    <row r="68" spans="1:12" ht="14.25" customHeight="1" x14ac:dyDescent="0.45">
      <c r="A68" t="s">
        <v>756</v>
      </c>
      <c r="B68" s="2" t="s">
        <v>271</v>
      </c>
      <c r="C68" t="s">
        <v>72</v>
      </c>
      <c r="D68" t="s">
        <v>398</v>
      </c>
      <c r="E68" t="s">
        <v>399</v>
      </c>
      <c r="F68" t="s">
        <v>75</v>
      </c>
      <c r="G68">
        <v>1</v>
      </c>
      <c r="H68" s="3">
        <v>3230</v>
      </c>
      <c r="I68" s="3">
        <v>3230</v>
      </c>
      <c r="J68" t="s">
        <v>76</v>
      </c>
      <c r="K68" t="s">
        <v>83</v>
      </c>
      <c r="L68" t="str">
        <f t="shared" si="1"/>
        <v>Tuesday</v>
      </c>
    </row>
    <row r="69" spans="1:12" ht="14.25" customHeight="1" x14ac:dyDescent="0.45">
      <c r="A69" t="s">
        <v>826</v>
      </c>
      <c r="B69" s="2" t="s">
        <v>152</v>
      </c>
      <c r="C69" t="s">
        <v>80</v>
      </c>
      <c r="D69" t="s">
        <v>472</v>
      </c>
      <c r="E69" t="s">
        <v>497</v>
      </c>
      <c r="F69" t="s">
        <v>123</v>
      </c>
      <c r="G69">
        <v>1</v>
      </c>
      <c r="H69" s="3">
        <v>3060</v>
      </c>
      <c r="I69" s="3">
        <v>3060</v>
      </c>
      <c r="J69" t="s">
        <v>76</v>
      </c>
      <c r="K69" t="s">
        <v>83</v>
      </c>
      <c r="L69" t="str">
        <f t="shared" si="1"/>
        <v>Monday</v>
      </c>
    </row>
    <row r="70" spans="1:12" ht="14.25" customHeight="1" x14ac:dyDescent="0.45">
      <c r="A70" t="s">
        <v>1116</v>
      </c>
      <c r="B70" s="2" t="s">
        <v>556</v>
      </c>
      <c r="C70" t="s">
        <v>96</v>
      </c>
      <c r="D70" t="s">
        <v>472</v>
      </c>
      <c r="E70" t="s">
        <v>500</v>
      </c>
      <c r="F70" t="s">
        <v>86</v>
      </c>
      <c r="G70">
        <v>1</v>
      </c>
      <c r="H70" s="3">
        <v>1600</v>
      </c>
      <c r="I70" s="3">
        <v>1600</v>
      </c>
      <c r="J70" t="s">
        <v>76</v>
      </c>
      <c r="K70" t="s">
        <v>83</v>
      </c>
      <c r="L70" t="str">
        <f t="shared" si="1"/>
        <v>Monday</v>
      </c>
    </row>
    <row r="71" spans="1:12" ht="14.25" customHeight="1" x14ac:dyDescent="0.45">
      <c r="A71" t="s">
        <v>1252</v>
      </c>
      <c r="B71" s="2" t="s">
        <v>169</v>
      </c>
      <c r="C71" t="s">
        <v>72</v>
      </c>
      <c r="D71" t="s">
        <v>472</v>
      </c>
      <c r="E71" t="s">
        <v>691</v>
      </c>
      <c r="F71" t="s">
        <v>123</v>
      </c>
      <c r="G71">
        <v>1</v>
      </c>
      <c r="H71" s="3">
        <v>920</v>
      </c>
      <c r="I71" s="3">
        <v>920</v>
      </c>
      <c r="J71" t="s">
        <v>76</v>
      </c>
      <c r="K71" t="s">
        <v>83</v>
      </c>
      <c r="L71" t="str">
        <f t="shared" si="1"/>
        <v>Saturday</v>
      </c>
    </row>
    <row r="72" spans="1:12" ht="14.25" customHeight="1" x14ac:dyDescent="0.45">
      <c r="A72" t="s">
        <v>392</v>
      </c>
      <c r="B72" s="2" t="s">
        <v>393</v>
      </c>
      <c r="C72" t="s">
        <v>96</v>
      </c>
      <c r="D72" t="s">
        <v>196</v>
      </c>
      <c r="E72" t="s">
        <v>246</v>
      </c>
      <c r="F72" t="s">
        <v>86</v>
      </c>
      <c r="G72">
        <v>1</v>
      </c>
      <c r="H72" s="3">
        <v>13050</v>
      </c>
      <c r="I72" s="3">
        <v>13050</v>
      </c>
      <c r="J72" t="s">
        <v>82</v>
      </c>
      <c r="K72" t="s">
        <v>93</v>
      </c>
      <c r="L72" t="str">
        <f t="shared" si="1"/>
        <v>Tuesday</v>
      </c>
    </row>
    <row r="73" spans="1:12" ht="14.25" customHeight="1" x14ac:dyDescent="0.45">
      <c r="A73" t="s">
        <v>421</v>
      </c>
      <c r="B73" s="2" t="s">
        <v>422</v>
      </c>
      <c r="C73" t="s">
        <v>80</v>
      </c>
      <c r="D73" t="s">
        <v>73</v>
      </c>
      <c r="E73" t="s">
        <v>211</v>
      </c>
      <c r="F73" t="s">
        <v>97</v>
      </c>
      <c r="G73">
        <v>1</v>
      </c>
      <c r="H73" s="3">
        <v>11980</v>
      </c>
      <c r="I73" s="3">
        <v>11980</v>
      </c>
      <c r="J73" t="s">
        <v>82</v>
      </c>
      <c r="K73" t="s">
        <v>83</v>
      </c>
      <c r="L73" t="str">
        <f t="shared" si="1"/>
        <v>Wednesday</v>
      </c>
    </row>
    <row r="74" spans="1:12" ht="14.25" customHeight="1" x14ac:dyDescent="0.45">
      <c r="A74" t="s">
        <v>737</v>
      </c>
      <c r="B74" s="2" t="s">
        <v>345</v>
      </c>
      <c r="C74" t="s">
        <v>89</v>
      </c>
      <c r="D74" t="s">
        <v>73</v>
      </c>
      <c r="E74" t="s">
        <v>443</v>
      </c>
      <c r="F74" t="s">
        <v>140</v>
      </c>
      <c r="G74">
        <v>1</v>
      </c>
      <c r="H74" s="3">
        <v>3470</v>
      </c>
      <c r="I74" s="3">
        <v>3470</v>
      </c>
      <c r="J74" t="s">
        <v>76</v>
      </c>
      <c r="K74" t="s">
        <v>83</v>
      </c>
      <c r="L74" t="str">
        <f t="shared" si="1"/>
        <v>Wednesday</v>
      </c>
    </row>
    <row r="75" spans="1:12" ht="14.25" customHeight="1" x14ac:dyDescent="0.45">
      <c r="A75" t="s">
        <v>239</v>
      </c>
      <c r="B75" s="2" t="s">
        <v>240</v>
      </c>
      <c r="C75" t="s">
        <v>89</v>
      </c>
      <c r="D75" t="s">
        <v>73</v>
      </c>
      <c r="E75" t="s">
        <v>101</v>
      </c>
      <c r="F75" t="s">
        <v>90</v>
      </c>
      <c r="G75">
        <v>1</v>
      </c>
      <c r="H75" s="3">
        <v>42200</v>
      </c>
      <c r="I75" s="3">
        <v>42200</v>
      </c>
      <c r="J75" t="s">
        <v>76</v>
      </c>
      <c r="K75" t="s">
        <v>83</v>
      </c>
      <c r="L75" t="str">
        <f t="shared" si="1"/>
        <v>Friday</v>
      </c>
    </row>
    <row r="76" spans="1:12" ht="14.25" customHeight="1" x14ac:dyDescent="0.45">
      <c r="A76" t="s">
        <v>890</v>
      </c>
      <c r="B76" s="2" t="s">
        <v>223</v>
      </c>
      <c r="C76" t="s">
        <v>89</v>
      </c>
      <c r="D76" t="s">
        <v>398</v>
      </c>
      <c r="E76" t="s">
        <v>464</v>
      </c>
      <c r="F76" t="s">
        <v>117</v>
      </c>
      <c r="G76">
        <v>1</v>
      </c>
      <c r="H76" s="3">
        <v>2510</v>
      </c>
      <c r="I76" s="3">
        <v>2510</v>
      </c>
      <c r="J76" t="s">
        <v>76</v>
      </c>
      <c r="K76" t="s">
        <v>77</v>
      </c>
      <c r="L76" t="str">
        <f t="shared" si="1"/>
        <v>Wednesday</v>
      </c>
    </row>
    <row r="77" spans="1:12" ht="14.25" customHeight="1" x14ac:dyDescent="0.45">
      <c r="A77" t="s">
        <v>1183</v>
      </c>
      <c r="B77" s="2" t="s">
        <v>919</v>
      </c>
      <c r="C77" t="s">
        <v>72</v>
      </c>
      <c r="D77" t="s">
        <v>472</v>
      </c>
      <c r="E77" t="s">
        <v>557</v>
      </c>
      <c r="F77" t="s">
        <v>90</v>
      </c>
      <c r="G77">
        <v>1</v>
      </c>
      <c r="H77" s="3">
        <v>1220</v>
      </c>
      <c r="I77" s="3">
        <v>1220</v>
      </c>
      <c r="J77" t="s">
        <v>76</v>
      </c>
      <c r="K77" t="s">
        <v>83</v>
      </c>
      <c r="L77" t="str">
        <f t="shared" si="1"/>
        <v>Saturday</v>
      </c>
    </row>
    <row r="78" spans="1:12" ht="14.25" customHeight="1" x14ac:dyDescent="0.45">
      <c r="A78" t="s">
        <v>603</v>
      </c>
      <c r="B78" s="2" t="s">
        <v>455</v>
      </c>
      <c r="C78" t="s">
        <v>80</v>
      </c>
      <c r="D78" t="s">
        <v>196</v>
      </c>
      <c r="E78" t="s">
        <v>300</v>
      </c>
      <c r="F78" t="s">
        <v>75</v>
      </c>
      <c r="G78">
        <v>1</v>
      </c>
      <c r="H78" s="3">
        <v>4410</v>
      </c>
      <c r="I78" s="3">
        <v>4410</v>
      </c>
      <c r="J78" t="s">
        <v>82</v>
      </c>
      <c r="K78" t="s">
        <v>77</v>
      </c>
      <c r="L78" t="str">
        <f t="shared" si="1"/>
        <v>Thursday</v>
      </c>
    </row>
    <row r="79" spans="1:12" ht="14.25" customHeight="1" x14ac:dyDescent="0.45">
      <c r="A79" t="s">
        <v>897</v>
      </c>
      <c r="B79" s="2" t="s">
        <v>385</v>
      </c>
      <c r="C79" t="s">
        <v>89</v>
      </c>
      <c r="D79" t="s">
        <v>472</v>
      </c>
      <c r="E79" t="s">
        <v>473</v>
      </c>
      <c r="F79" t="s">
        <v>75</v>
      </c>
      <c r="G79">
        <v>1</v>
      </c>
      <c r="H79" s="3">
        <v>2480</v>
      </c>
      <c r="I79" s="3">
        <v>2480</v>
      </c>
      <c r="J79" t="s">
        <v>76</v>
      </c>
      <c r="K79" t="s">
        <v>77</v>
      </c>
      <c r="L79" t="str">
        <f t="shared" si="1"/>
        <v>Monday</v>
      </c>
    </row>
    <row r="80" spans="1:12" ht="14.25" customHeight="1" x14ac:dyDescent="0.45">
      <c r="A80" t="s">
        <v>470</v>
      </c>
      <c r="B80" s="2" t="s">
        <v>127</v>
      </c>
      <c r="C80" t="s">
        <v>89</v>
      </c>
      <c r="D80" t="s">
        <v>334</v>
      </c>
      <c r="E80" t="s">
        <v>335</v>
      </c>
      <c r="F80" t="s">
        <v>86</v>
      </c>
      <c r="G80">
        <v>2</v>
      </c>
      <c r="H80" s="3">
        <v>3720</v>
      </c>
      <c r="I80" s="3">
        <v>7440</v>
      </c>
      <c r="J80" t="s">
        <v>76</v>
      </c>
      <c r="K80" t="s">
        <v>83</v>
      </c>
      <c r="L80" t="str">
        <f t="shared" si="1"/>
        <v>Saturday</v>
      </c>
    </row>
    <row r="81" spans="1:12" ht="14.25" customHeight="1" x14ac:dyDescent="0.45">
      <c r="A81" t="s">
        <v>260</v>
      </c>
      <c r="B81" s="2" t="s">
        <v>261</v>
      </c>
      <c r="C81" t="s">
        <v>100</v>
      </c>
      <c r="D81" t="s">
        <v>196</v>
      </c>
      <c r="E81" t="s">
        <v>214</v>
      </c>
      <c r="F81" t="s">
        <v>131</v>
      </c>
      <c r="G81">
        <v>2</v>
      </c>
      <c r="H81" s="3">
        <v>15530</v>
      </c>
      <c r="I81" s="3">
        <v>31060</v>
      </c>
      <c r="J81" t="s">
        <v>76</v>
      </c>
      <c r="K81" t="s">
        <v>93</v>
      </c>
      <c r="L81" t="str">
        <f t="shared" si="1"/>
        <v>Sunday</v>
      </c>
    </row>
    <row r="82" spans="1:12" ht="14.25" customHeight="1" x14ac:dyDescent="0.45">
      <c r="A82" t="s">
        <v>685</v>
      </c>
      <c r="B82" s="2" t="s">
        <v>237</v>
      </c>
      <c r="C82" t="s">
        <v>89</v>
      </c>
      <c r="D82" t="s">
        <v>334</v>
      </c>
      <c r="E82" t="s">
        <v>335</v>
      </c>
      <c r="F82" t="s">
        <v>97</v>
      </c>
      <c r="G82">
        <v>1</v>
      </c>
      <c r="H82" s="3">
        <v>3860</v>
      </c>
      <c r="I82" s="3">
        <v>3860</v>
      </c>
      <c r="J82" t="s">
        <v>76</v>
      </c>
      <c r="K82" t="s">
        <v>93</v>
      </c>
      <c r="L82" t="str">
        <f t="shared" si="1"/>
        <v>Friday</v>
      </c>
    </row>
    <row r="83" spans="1:12" ht="14.25" customHeight="1" x14ac:dyDescent="0.45">
      <c r="A83" t="s">
        <v>1005</v>
      </c>
      <c r="B83" s="2" t="s">
        <v>303</v>
      </c>
      <c r="C83" t="s">
        <v>72</v>
      </c>
      <c r="D83" t="s">
        <v>398</v>
      </c>
      <c r="E83" t="s">
        <v>462</v>
      </c>
      <c r="F83" t="s">
        <v>140</v>
      </c>
      <c r="G83">
        <v>1</v>
      </c>
      <c r="H83" s="3">
        <v>2040</v>
      </c>
      <c r="I83" s="3">
        <v>2040</v>
      </c>
      <c r="J83" t="s">
        <v>76</v>
      </c>
      <c r="K83" t="s">
        <v>83</v>
      </c>
      <c r="L83" t="str">
        <f t="shared" si="1"/>
        <v>Tuesday</v>
      </c>
    </row>
    <row r="84" spans="1:12" ht="14.25" customHeight="1" x14ac:dyDescent="0.45">
      <c r="A84" t="s">
        <v>834</v>
      </c>
      <c r="B84" s="2" t="s">
        <v>295</v>
      </c>
      <c r="C84" t="s">
        <v>72</v>
      </c>
      <c r="D84" t="s">
        <v>472</v>
      </c>
      <c r="E84" t="s">
        <v>497</v>
      </c>
      <c r="F84" t="s">
        <v>81</v>
      </c>
      <c r="G84">
        <v>1</v>
      </c>
      <c r="H84" s="3">
        <v>3010</v>
      </c>
      <c r="I84" s="3">
        <v>3010</v>
      </c>
      <c r="J84" t="s">
        <v>76</v>
      </c>
      <c r="K84" t="s">
        <v>77</v>
      </c>
      <c r="L84" t="str">
        <f t="shared" si="1"/>
        <v>Wednesday</v>
      </c>
    </row>
    <row r="85" spans="1:12" ht="14.25" customHeight="1" x14ac:dyDescent="0.45">
      <c r="A85" t="s">
        <v>1118</v>
      </c>
      <c r="B85" s="2" t="s">
        <v>231</v>
      </c>
      <c r="C85" t="s">
        <v>72</v>
      </c>
      <c r="D85" t="s">
        <v>472</v>
      </c>
      <c r="E85" t="s">
        <v>500</v>
      </c>
      <c r="F85" t="s">
        <v>140</v>
      </c>
      <c r="G85">
        <v>1</v>
      </c>
      <c r="H85" s="3">
        <v>1590</v>
      </c>
      <c r="I85" s="3">
        <v>1590</v>
      </c>
      <c r="J85" t="s">
        <v>76</v>
      </c>
      <c r="K85" t="s">
        <v>83</v>
      </c>
      <c r="L85" t="str">
        <f t="shared" si="1"/>
        <v>Wednesday</v>
      </c>
    </row>
    <row r="86" spans="1:12" ht="14.25" customHeight="1" x14ac:dyDescent="0.45">
      <c r="A86" t="s">
        <v>233</v>
      </c>
      <c r="B86" s="2" t="s">
        <v>234</v>
      </c>
      <c r="C86" t="s">
        <v>96</v>
      </c>
      <c r="D86" t="s">
        <v>73</v>
      </c>
      <c r="E86" t="s">
        <v>101</v>
      </c>
      <c r="F86" t="s">
        <v>81</v>
      </c>
      <c r="G86">
        <v>1</v>
      </c>
      <c r="H86" s="3">
        <v>42640</v>
      </c>
      <c r="I86" s="3">
        <v>42640</v>
      </c>
      <c r="J86" t="s">
        <v>76</v>
      </c>
      <c r="K86" t="s">
        <v>93</v>
      </c>
      <c r="L86" t="str">
        <f t="shared" si="1"/>
        <v>Monday</v>
      </c>
    </row>
    <row r="87" spans="1:12" ht="14.25" customHeight="1" x14ac:dyDescent="0.45">
      <c r="A87" t="s">
        <v>411</v>
      </c>
      <c r="B87" s="2" t="s">
        <v>412</v>
      </c>
      <c r="C87" t="s">
        <v>89</v>
      </c>
      <c r="D87" t="s">
        <v>73</v>
      </c>
      <c r="E87" t="s">
        <v>211</v>
      </c>
      <c r="F87" t="s">
        <v>90</v>
      </c>
      <c r="G87">
        <v>1</v>
      </c>
      <c r="H87" s="3">
        <v>12120</v>
      </c>
      <c r="I87" s="3">
        <v>12120</v>
      </c>
      <c r="J87" t="s">
        <v>76</v>
      </c>
      <c r="K87" t="s">
        <v>83</v>
      </c>
      <c r="L87" t="str">
        <f t="shared" si="1"/>
        <v>Wednesday</v>
      </c>
    </row>
    <row r="88" spans="1:12" ht="14.25" customHeight="1" x14ac:dyDescent="0.45">
      <c r="A88" t="s">
        <v>495</v>
      </c>
      <c r="B88" s="2" t="s">
        <v>194</v>
      </c>
      <c r="C88" t="s">
        <v>100</v>
      </c>
      <c r="D88" t="s">
        <v>398</v>
      </c>
      <c r="E88" t="s">
        <v>399</v>
      </c>
      <c r="F88" t="s">
        <v>117</v>
      </c>
      <c r="G88">
        <v>2</v>
      </c>
      <c r="H88" s="3">
        <v>3220</v>
      </c>
      <c r="I88" s="3">
        <v>6440</v>
      </c>
      <c r="J88" t="s">
        <v>76</v>
      </c>
      <c r="K88" t="s">
        <v>83</v>
      </c>
      <c r="L88" t="str">
        <f t="shared" si="1"/>
        <v>Wednesday</v>
      </c>
    </row>
    <row r="89" spans="1:12" ht="14.25" customHeight="1" x14ac:dyDescent="0.45">
      <c r="A89" t="s">
        <v>1088</v>
      </c>
      <c r="B89" s="2" t="s">
        <v>119</v>
      </c>
      <c r="C89" t="s">
        <v>96</v>
      </c>
      <c r="D89" t="s">
        <v>398</v>
      </c>
      <c r="E89" t="s">
        <v>475</v>
      </c>
      <c r="F89" t="s">
        <v>140</v>
      </c>
      <c r="G89">
        <v>1</v>
      </c>
      <c r="H89" s="3">
        <v>1750</v>
      </c>
      <c r="I89" s="3">
        <v>1750</v>
      </c>
      <c r="J89" t="s">
        <v>76</v>
      </c>
      <c r="K89" t="s">
        <v>77</v>
      </c>
      <c r="L89" t="str">
        <f t="shared" si="1"/>
        <v>Tuesday</v>
      </c>
    </row>
    <row r="90" spans="1:12" ht="14.25" customHeight="1" x14ac:dyDescent="0.45">
      <c r="A90" t="s">
        <v>1197</v>
      </c>
      <c r="B90" s="2" t="s">
        <v>843</v>
      </c>
      <c r="C90" t="s">
        <v>72</v>
      </c>
      <c r="D90" t="s">
        <v>472</v>
      </c>
      <c r="E90" t="s">
        <v>557</v>
      </c>
      <c r="F90" t="s">
        <v>140</v>
      </c>
      <c r="G90">
        <v>1</v>
      </c>
      <c r="H90" s="3">
        <v>1200</v>
      </c>
      <c r="I90" s="3">
        <v>1200</v>
      </c>
      <c r="J90" t="s">
        <v>82</v>
      </c>
      <c r="K90" t="s">
        <v>83</v>
      </c>
      <c r="L90" t="str">
        <f t="shared" si="1"/>
        <v>Sunday</v>
      </c>
    </row>
    <row r="91" spans="1:12" ht="14.25" customHeight="1" x14ac:dyDescent="0.45">
      <c r="A91" t="s">
        <v>1001</v>
      </c>
      <c r="B91" s="2" t="s">
        <v>103</v>
      </c>
      <c r="C91" t="s">
        <v>89</v>
      </c>
      <c r="D91" t="s">
        <v>398</v>
      </c>
      <c r="E91" t="s">
        <v>462</v>
      </c>
      <c r="F91" t="s">
        <v>75</v>
      </c>
      <c r="G91">
        <v>1</v>
      </c>
      <c r="H91" s="3">
        <v>2080</v>
      </c>
      <c r="I91" s="3">
        <v>2080</v>
      </c>
      <c r="J91" t="s">
        <v>82</v>
      </c>
      <c r="K91" t="s">
        <v>93</v>
      </c>
      <c r="L91" t="str">
        <f t="shared" si="1"/>
        <v>Thursday</v>
      </c>
    </row>
    <row r="92" spans="1:12" ht="14.25" customHeight="1" x14ac:dyDescent="0.45">
      <c r="A92" t="s">
        <v>1071</v>
      </c>
      <c r="B92" s="2" t="s">
        <v>571</v>
      </c>
      <c r="C92" t="s">
        <v>89</v>
      </c>
      <c r="D92" t="s">
        <v>398</v>
      </c>
      <c r="E92" t="s">
        <v>475</v>
      </c>
      <c r="F92" t="s">
        <v>117</v>
      </c>
      <c r="G92">
        <v>1</v>
      </c>
      <c r="H92" s="3">
        <v>1810</v>
      </c>
      <c r="I92" s="3">
        <v>1810</v>
      </c>
      <c r="J92" t="s">
        <v>76</v>
      </c>
      <c r="K92" t="s">
        <v>93</v>
      </c>
      <c r="L92" t="str">
        <f t="shared" si="1"/>
        <v>Saturday</v>
      </c>
    </row>
    <row r="93" spans="1:12" ht="14.25" customHeight="1" x14ac:dyDescent="0.45">
      <c r="A93" t="s">
        <v>690</v>
      </c>
      <c r="B93" s="2" t="s">
        <v>127</v>
      </c>
      <c r="C93" t="s">
        <v>72</v>
      </c>
      <c r="D93" t="s">
        <v>472</v>
      </c>
      <c r="E93" t="s">
        <v>691</v>
      </c>
      <c r="F93" t="s">
        <v>140</v>
      </c>
      <c r="G93">
        <v>4</v>
      </c>
      <c r="H93" s="3">
        <v>950</v>
      </c>
      <c r="I93" s="3">
        <v>3800</v>
      </c>
      <c r="J93" t="s">
        <v>76</v>
      </c>
      <c r="K93" t="s">
        <v>83</v>
      </c>
      <c r="L93" t="str">
        <f t="shared" si="1"/>
        <v>Saturday</v>
      </c>
    </row>
    <row r="94" spans="1:12" ht="14.25" customHeight="1" x14ac:dyDescent="0.45">
      <c r="A94" t="s">
        <v>1241</v>
      </c>
      <c r="B94" s="2" t="s">
        <v>656</v>
      </c>
      <c r="C94" t="s">
        <v>89</v>
      </c>
      <c r="D94" t="s">
        <v>472</v>
      </c>
      <c r="E94" t="s">
        <v>691</v>
      </c>
      <c r="F94" t="s">
        <v>81</v>
      </c>
      <c r="G94">
        <v>1</v>
      </c>
      <c r="H94" s="3">
        <v>950</v>
      </c>
      <c r="I94" s="3">
        <v>950</v>
      </c>
      <c r="J94" t="s">
        <v>76</v>
      </c>
      <c r="K94" t="s">
        <v>93</v>
      </c>
      <c r="L94" t="str">
        <f t="shared" si="1"/>
        <v>Sunday</v>
      </c>
    </row>
    <row r="95" spans="1:12" ht="14.25" customHeight="1" x14ac:dyDescent="0.45">
      <c r="A95" t="s">
        <v>623</v>
      </c>
      <c r="B95" s="2" t="s">
        <v>595</v>
      </c>
      <c r="C95" t="s">
        <v>72</v>
      </c>
      <c r="D95" t="s">
        <v>334</v>
      </c>
      <c r="E95" t="s">
        <v>402</v>
      </c>
      <c r="F95" t="s">
        <v>90</v>
      </c>
      <c r="G95">
        <v>1</v>
      </c>
      <c r="H95" s="3">
        <v>4320</v>
      </c>
      <c r="I95" s="3">
        <v>4320</v>
      </c>
      <c r="J95" t="s">
        <v>82</v>
      </c>
      <c r="K95" t="s">
        <v>83</v>
      </c>
      <c r="L95" t="str">
        <f t="shared" si="1"/>
        <v>Wednesday</v>
      </c>
    </row>
    <row r="96" spans="1:12" ht="14.25" customHeight="1" x14ac:dyDescent="0.45">
      <c r="A96" t="s">
        <v>78</v>
      </c>
      <c r="B96" s="2" t="s">
        <v>79</v>
      </c>
      <c r="C96" t="s">
        <v>80</v>
      </c>
      <c r="D96" t="s">
        <v>73</v>
      </c>
      <c r="E96" t="s">
        <v>74</v>
      </c>
      <c r="F96" t="s">
        <v>81</v>
      </c>
      <c r="G96">
        <v>3</v>
      </c>
      <c r="H96" s="3">
        <v>95890</v>
      </c>
      <c r="I96" s="3">
        <v>287670</v>
      </c>
      <c r="J96" t="s">
        <v>82</v>
      </c>
      <c r="K96" t="s">
        <v>83</v>
      </c>
      <c r="L96" t="str">
        <f t="shared" si="1"/>
        <v>Thursday</v>
      </c>
    </row>
    <row r="97" spans="1:12" ht="14.25" customHeight="1" x14ac:dyDescent="0.45">
      <c r="A97" t="s">
        <v>657</v>
      </c>
      <c r="B97" s="2" t="s">
        <v>658</v>
      </c>
      <c r="C97" t="s">
        <v>96</v>
      </c>
      <c r="D97" t="s">
        <v>334</v>
      </c>
      <c r="E97" t="s">
        <v>402</v>
      </c>
      <c r="F97" t="s">
        <v>131</v>
      </c>
      <c r="G97">
        <v>1</v>
      </c>
      <c r="H97" s="3">
        <v>4170</v>
      </c>
      <c r="I97" s="3">
        <v>4170</v>
      </c>
      <c r="J97" t="s">
        <v>82</v>
      </c>
      <c r="K97" t="s">
        <v>83</v>
      </c>
      <c r="L97" t="str">
        <f t="shared" si="1"/>
        <v>Wednesday</v>
      </c>
    </row>
    <row r="98" spans="1:12" ht="14.25" customHeight="1" x14ac:dyDescent="0.45">
      <c r="A98" t="s">
        <v>1153</v>
      </c>
      <c r="B98" s="2" t="s">
        <v>166</v>
      </c>
      <c r="C98" t="s">
        <v>89</v>
      </c>
      <c r="D98" t="s">
        <v>334</v>
      </c>
      <c r="E98" t="s">
        <v>515</v>
      </c>
      <c r="F98" t="s">
        <v>86</v>
      </c>
      <c r="G98">
        <v>1</v>
      </c>
      <c r="H98" s="3">
        <v>1500</v>
      </c>
      <c r="I98" s="3">
        <v>1500</v>
      </c>
      <c r="J98" t="s">
        <v>82</v>
      </c>
      <c r="K98" t="s">
        <v>83</v>
      </c>
      <c r="L98" t="str">
        <f t="shared" si="1"/>
        <v>Friday</v>
      </c>
    </row>
    <row r="99" spans="1:12" ht="14.25" customHeight="1" x14ac:dyDescent="0.45">
      <c r="A99" t="s">
        <v>431</v>
      </c>
      <c r="B99" s="2" t="s">
        <v>127</v>
      </c>
      <c r="C99" t="s">
        <v>96</v>
      </c>
      <c r="D99" t="s">
        <v>73</v>
      </c>
      <c r="E99" t="s">
        <v>211</v>
      </c>
      <c r="F99" t="s">
        <v>90</v>
      </c>
      <c r="G99">
        <v>1</v>
      </c>
      <c r="H99" s="3">
        <v>11730</v>
      </c>
      <c r="I99" s="3">
        <v>11730</v>
      </c>
      <c r="J99" t="s">
        <v>76</v>
      </c>
      <c r="K99" t="s">
        <v>83</v>
      </c>
      <c r="L99" t="str">
        <f t="shared" si="1"/>
        <v>Saturday</v>
      </c>
    </row>
    <row r="100" spans="1:12" ht="14.25" customHeight="1" x14ac:dyDescent="0.45">
      <c r="A100" t="s">
        <v>1145</v>
      </c>
      <c r="B100" s="2" t="s">
        <v>111</v>
      </c>
      <c r="C100" t="s">
        <v>96</v>
      </c>
      <c r="D100" t="s">
        <v>334</v>
      </c>
      <c r="E100" t="s">
        <v>515</v>
      </c>
      <c r="F100" t="s">
        <v>81</v>
      </c>
      <c r="G100">
        <v>1</v>
      </c>
      <c r="H100" s="3">
        <v>1520</v>
      </c>
      <c r="I100" s="3">
        <v>1520</v>
      </c>
      <c r="J100" t="s">
        <v>76</v>
      </c>
      <c r="K100" t="s">
        <v>77</v>
      </c>
      <c r="L100" t="str">
        <f t="shared" si="1"/>
        <v>Monday</v>
      </c>
    </row>
    <row r="101" spans="1:12" ht="14.25" customHeight="1" x14ac:dyDescent="0.45">
      <c r="A101" t="s">
        <v>828</v>
      </c>
      <c r="B101" s="2" t="s">
        <v>160</v>
      </c>
      <c r="C101" t="s">
        <v>89</v>
      </c>
      <c r="D101" t="s">
        <v>472</v>
      </c>
      <c r="E101" t="s">
        <v>497</v>
      </c>
      <c r="F101" t="s">
        <v>123</v>
      </c>
      <c r="G101">
        <v>1</v>
      </c>
      <c r="H101" s="3">
        <v>3050</v>
      </c>
      <c r="I101" s="3">
        <v>3050</v>
      </c>
      <c r="J101" t="s">
        <v>76</v>
      </c>
      <c r="K101" t="s">
        <v>83</v>
      </c>
      <c r="L101" t="str">
        <f t="shared" si="1"/>
        <v>Monday</v>
      </c>
    </row>
    <row r="102" spans="1:12" ht="14.25" customHeight="1" x14ac:dyDescent="0.45">
      <c r="A102" t="s">
        <v>529</v>
      </c>
      <c r="B102" s="2" t="s">
        <v>530</v>
      </c>
      <c r="C102" t="s">
        <v>89</v>
      </c>
      <c r="D102" t="s">
        <v>73</v>
      </c>
      <c r="E102" t="s">
        <v>441</v>
      </c>
      <c r="F102" t="s">
        <v>90</v>
      </c>
      <c r="G102">
        <v>2</v>
      </c>
      <c r="H102" s="3">
        <v>2790</v>
      </c>
      <c r="I102" s="3">
        <v>5580</v>
      </c>
      <c r="J102" t="s">
        <v>76</v>
      </c>
      <c r="K102" t="s">
        <v>83</v>
      </c>
      <c r="L102" t="str">
        <f t="shared" si="1"/>
        <v>Tuesday</v>
      </c>
    </row>
    <row r="103" spans="1:12" ht="14.25" customHeight="1" x14ac:dyDescent="0.45">
      <c r="A103" t="s">
        <v>507</v>
      </c>
      <c r="B103" s="2" t="s">
        <v>363</v>
      </c>
      <c r="C103" t="s">
        <v>80</v>
      </c>
      <c r="D103" t="s">
        <v>398</v>
      </c>
      <c r="E103" t="s">
        <v>448</v>
      </c>
      <c r="F103" t="s">
        <v>117</v>
      </c>
      <c r="G103">
        <v>3</v>
      </c>
      <c r="H103" s="3">
        <v>2110</v>
      </c>
      <c r="I103" s="3">
        <v>6330</v>
      </c>
      <c r="J103" t="s">
        <v>82</v>
      </c>
      <c r="K103" t="s">
        <v>83</v>
      </c>
      <c r="L103" t="str">
        <f t="shared" si="1"/>
        <v>Sunday</v>
      </c>
    </row>
    <row r="104" spans="1:12" ht="14.25" customHeight="1" x14ac:dyDescent="0.45">
      <c r="A104" t="s">
        <v>1226</v>
      </c>
      <c r="B104" s="2" t="s">
        <v>106</v>
      </c>
      <c r="C104" t="s">
        <v>72</v>
      </c>
      <c r="D104" t="s">
        <v>472</v>
      </c>
      <c r="E104" t="s">
        <v>557</v>
      </c>
      <c r="F104" t="s">
        <v>131</v>
      </c>
      <c r="G104">
        <v>1</v>
      </c>
      <c r="H104" s="3">
        <v>1150</v>
      </c>
      <c r="I104" s="3">
        <v>1150</v>
      </c>
      <c r="J104" t="s">
        <v>76</v>
      </c>
      <c r="K104" t="s">
        <v>93</v>
      </c>
      <c r="L104" t="str">
        <f t="shared" si="1"/>
        <v>Friday</v>
      </c>
    </row>
    <row r="105" spans="1:12" ht="14.25" customHeight="1" x14ac:dyDescent="0.45">
      <c r="A105" t="s">
        <v>836</v>
      </c>
      <c r="B105" s="2" t="s">
        <v>453</v>
      </c>
      <c r="C105" t="s">
        <v>96</v>
      </c>
      <c r="D105" t="s">
        <v>334</v>
      </c>
      <c r="E105" t="s">
        <v>515</v>
      </c>
      <c r="F105" t="s">
        <v>131</v>
      </c>
      <c r="G105">
        <v>2</v>
      </c>
      <c r="H105" s="3">
        <v>1490</v>
      </c>
      <c r="I105" s="3">
        <v>2980</v>
      </c>
      <c r="J105" t="s">
        <v>76</v>
      </c>
      <c r="K105" t="s">
        <v>83</v>
      </c>
      <c r="L105" t="str">
        <f t="shared" si="1"/>
        <v>Tuesday</v>
      </c>
    </row>
    <row r="106" spans="1:12" ht="14.25" customHeight="1" x14ac:dyDescent="0.45">
      <c r="A106" t="s">
        <v>664</v>
      </c>
      <c r="B106" s="2" t="s">
        <v>597</v>
      </c>
      <c r="C106" t="s">
        <v>89</v>
      </c>
      <c r="D106" t="s">
        <v>398</v>
      </c>
      <c r="E106" t="s">
        <v>462</v>
      </c>
      <c r="F106" t="s">
        <v>75</v>
      </c>
      <c r="G106">
        <v>2</v>
      </c>
      <c r="H106" s="3">
        <v>2060</v>
      </c>
      <c r="I106" s="3">
        <v>4120</v>
      </c>
      <c r="J106" t="s">
        <v>76</v>
      </c>
      <c r="K106" t="s">
        <v>83</v>
      </c>
      <c r="L106" t="str">
        <f t="shared" si="1"/>
        <v>Tuesday</v>
      </c>
    </row>
    <row r="107" spans="1:12" ht="14.25" customHeight="1" x14ac:dyDescent="0.45">
      <c r="A107" t="s">
        <v>948</v>
      </c>
      <c r="B107" s="2" t="s">
        <v>562</v>
      </c>
      <c r="C107" t="s">
        <v>96</v>
      </c>
      <c r="D107" t="s">
        <v>398</v>
      </c>
      <c r="E107" t="s">
        <v>448</v>
      </c>
      <c r="F107" t="s">
        <v>81</v>
      </c>
      <c r="G107">
        <v>1</v>
      </c>
      <c r="H107" s="3">
        <v>2260</v>
      </c>
      <c r="I107" s="3">
        <v>2260</v>
      </c>
      <c r="J107" t="s">
        <v>76</v>
      </c>
      <c r="K107" t="s">
        <v>93</v>
      </c>
      <c r="L107" t="str">
        <f t="shared" si="1"/>
        <v>Saturday</v>
      </c>
    </row>
    <row r="108" spans="1:12" ht="14.25" customHeight="1" x14ac:dyDescent="0.45">
      <c r="A108" t="s">
        <v>478</v>
      </c>
      <c r="B108" s="2" t="s">
        <v>71</v>
      </c>
      <c r="C108" t="s">
        <v>89</v>
      </c>
      <c r="D108" t="s">
        <v>73</v>
      </c>
      <c r="E108" t="s">
        <v>443</v>
      </c>
      <c r="F108" t="s">
        <v>123</v>
      </c>
      <c r="G108">
        <v>2</v>
      </c>
      <c r="H108" s="3">
        <v>3570</v>
      </c>
      <c r="I108" s="3">
        <v>7140</v>
      </c>
      <c r="J108" t="s">
        <v>76</v>
      </c>
      <c r="K108" t="s">
        <v>83</v>
      </c>
      <c r="L108" t="str">
        <f t="shared" si="1"/>
        <v>Friday</v>
      </c>
    </row>
    <row r="109" spans="1:12" ht="14.25" customHeight="1" x14ac:dyDescent="0.45">
      <c r="A109" t="s">
        <v>659</v>
      </c>
      <c r="B109" s="2" t="s">
        <v>160</v>
      </c>
      <c r="C109" t="s">
        <v>80</v>
      </c>
      <c r="D109" t="s">
        <v>334</v>
      </c>
      <c r="E109" t="s">
        <v>402</v>
      </c>
      <c r="F109" t="s">
        <v>140</v>
      </c>
      <c r="G109">
        <v>1</v>
      </c>
      <c r="H109" s="3">
        <v>4170</v>
      </c>
      <c r="I109" s="3">
        <v>4170</v>
      </c>
      <c r="J109" t="s">
        <v>82</v>
      </c>
      <c r="K109" t="s">
        <v>77</v>
      </c>
      <c r="L109" t="str">
        <f t="shared" si="1"/>
        <v>Monday</v>
      </c>
    </row>
    <row r="110" spans="1:12" ht="14.25" customHeight="1" x14ac:dyDescent="0.45">
      <c r="A110" t="s">
        <v>1229</v>
      </c>
      <c r="B110" s="2" t="s">
        <v>414</v>
      </c>
      <c r="C110" t="s">
        <v>100</v>
      </c>
      <c r="D110" t="s">
        <v>472</v>
      </c>
      <c r="E110" t="s">
        <v>691</v>
      </c>
      <c r="F110" t="s">
        <v>75</v>
      </c>
      <c r="G110">
        <v>1</v>
      </c>
      <c r="H110" s="3">
        <v>980</v>
      </c>
      <c r="I110" s="3">
        <v>980</v>
      </c>
      <c r="J110" t="s">
        <v>76</v>
      </c>
      <c r="K110" t="s">
        <v>77</v>
      </c>
      <c r="L110" t="str">
        <f t="shared" si="1"/>
        <v>Friday</v>
      </c>
    </row>
    <row r="111" spans="1:12" ht="14.25" customHeight="1" x14ac:dyDescent="0.45">
      <c r="A111" t="s">
        <v>635</v>
      </c>
      <c r="B111" s="2" t="s">
        <v>337</v>
      </c>
      <c r="C111" t="s">
        <v>89</v>
      </c>
      <c r="D111" t="s">
        <v>398</v>
      </c>
      <c r="E111" t="s">
        <v>448</v>
      </c>
      <c r="F111" t="s">
        <v>117</v>
      </c>
      <c r="G111">
        <v>2</v>
      </c>
      <c r="H111" s="3">
        <v>2130</v>
      </c>
      <c r="I111" s="3">
        <v>4260</v>
      </c>
      <c r="J111" t="s">
        <v>76</v>
      </c>
      <c r="K111" t="s">
        <v>77</v>
      </c>
      <c r="L111" t="str">
        <f t="shared" si="1"/>
        <v>Monday</v>
      </c>
    </row>
    <row r="112" spans="1:12" ht="14.25" customHeight="1" x14ac:dyDescent="0.45">
      <c r="A112" t="s">
        <v>881</v>
      </c>
      <c r="B112" s="2" t="s">
        <v>453</v>
      </c>
      <c r="C112" t="s">
        <v>100</v>
      </c>
      <c r="D112" t="s">
        <v>398</v>
      </c>
      <c r="E112" t="s">
        <v>464</v>
      </c>
      <c r="F112" t="s">
        <v>117</v>
      </c>
      <c r="G112">
        <v>1</v>
      </c>
      <c r="H112" s="3">
        <v>2580</v>
      </c>
      <c r="I112" s="3">
        <v>2580</v>
      </c>
      <c r="J112" t="s">
        <v>76</v>
      </c>
      <c r="K112" t="s">
        <v>77</v>
      </c>
      <c r="L112" t="str">
        <f t="shared" si="1"/>
        <v>Tuesday</v>
      </c>
    </row>
    <row r="113" spans="1:12" ht="14.25" customHeight="1" x14ac:dyDescent="0.45">
      <c r="A113" t="s">
        <v>784</v>
      </c>
      <c r="B113" s="2" t="s">
        <v>92</v>
      </c>
      <c r="C113" t="s">
        <v>72</v>
      </c>
      <c r="D113" t="s">
        <v>472</v>
      </c>
      <c r="E113" t="s">
        <v>497</v>
      </c>
      <c r="F113" t="s">
        <v>86</v>
      </c>
      <c r="G113">
        <v>1</v>
      </c>
      <c r="H113" s="3">
        <v>3160</v>
      </c>
      <c r="I113" s="3">
        <v>3160</v>
      </c>
      <c r="J113" t="s">
        <v>76</v>
      </c>
      <c r="K113" t="s">
        <v>83</v>
      </c>
      <c r="L113" t="str">
        <f t="shared" si="1"/>
        <v>Saturday</v>
      </c>
    </row>
    <row r="114" spans="1:12" ht="14.25" customHeight="1" x14ac:dyDescent="0.45">
      <c r="A114" t="s">
        <v>868</v>
      </c>
      <c r="B114" s="2" t="s">
        <v>869</v>
      </c>
      <c r="C114" t="s">
        <v>89</v>
      </c>
      <c r="D114" t="s">
        <v>398</v>
      </c>
      <c r="E114" t="s">
        <v>464</v>
      </c>
      <c r="F114" t="s">
        <v>117</v>
      </c>
      <c r="G114">
        <v>1</v>
      </c>
      <c r="H114" s="3">
        <v>2650</v>
      </c>
      <c r="I114" s="3">
        <v>2650</v>
      </c>
      <c r="J114" t="s">
        <v>82</v>
      </c>
      <c r="K114" t="s">
        <v>93</v>
      </c>
      <c r="L114" t="str">
        <f t="shared" si="1"/>
        <v>Monday</v>
      </c>
    </row>
    <row r="115" spans="1:12" ht="14.25" customHeight="1" x14ac:dyDescent="0.45">
      <c r="A115" t="s">
        <v>518</v>
      </c>
      <c r="B115" s="2" t="s">
        <v>491</v>
      </c>
      <c r="C115" t="s">
        <v>96</v>
      </c>
      <c r="D115" t="s">
        <v>472</v>
      </c>
      <c r="E115" t="s">
        <v>497</v>
      </c>
      <c r="F115" t="s">
        <v>117</v>
      </c>
      <c r="G115">
        <v>2</v>
      </c>
      <c r="H115" s="3">
        <v>3070</v>
      </c>
      <c r="I115" s="3">
        <v>6140</v>
      </c>
      <c r="J115" t="s">
        <v>82</v>
      </c>
      <c r="K115" t="s">
        <v>83</v>
      </c>
      <c r="L115" t="str">
        <f t="shared" si="1"/>
        <v>Wednesday</v>
      </c>
    </row>
    <row r="116" spans="1:12" ht="14.25" customHeight="1" x14ac:dyDescent="0.45">
      <c r="A116" t="s">
        <v>1242</v>
      </c>
      <c r="B116" s="2" t="s">
        <v>455</v>
      </c>
      <c r="C116" t="s">
        <v>89</v>
      </c>
      <c r="D116" t="s">
        <v>472</v>
      </c>
      <c r="E116" t="s">
        <v>691</v>
      </c>
      <c r="F116" t="s">
        <v>81</v>
      </c>
      <c r="G116">
        <v>1</v>
      </c>
      <c r="H116" s="3">
        <v>950</v>
      </c>
      <c r="I116" s="3">
        <v>950</v>
      </c>
      <c r="J116" t="s">
        <v>82</v>
      </c>
      <c r="K116" t="s">
        <v>83</v>
      </c>
      <c r="L116" t="str">
        <f t="shared" si="1"/>
        <v>Thursday</v>
      </c>
    </row>
    <row r="117" spans="1:12" ht="14.25" customHeight="1" x14ac:dyDescent="0.45">
      <c r="A117" t="s">
        <v>1089</v>
      </c>
      <c r="B117" s="2" t="s">
        <v>111</v>
      </c>
      <c r="C117" t="s">
        <v>72</v>
      </c>
      <c r="D117" t="s">
        <v>398</v>
      </c>
      <c r="E117" t="s">
        <v>475</v>
      </c>
      <c r="F117" t="s">
        <v>90</v>
      </c>
      <c r="G117">
        <v>1</v>
      </c>
      <c r="H117" s="3">
        <v>1750</v>
      </c>
      <c r="I117" s="3">
        <v>1750</v>
      </c>
      <c r="J117" t="s">
        <v>76</v>
      </c>
      <c r="K117" t="s">
        <v>83</v>
      </c>
      <c r="L117" t="str">
        <f t="shared" si="1"/>
        <v>Monday</v>
      </c>
    </row>
    <row r="118" spans="1:12" ht="14.25" customHeight="1" x14ac:dyDescent="0.45">
      <c r="A118" t="s">
        <v>740</v>
      </c>
      <c r="B118" s="2" t="s">
        <v>158</v>
      </c>
      <c r="C118" t="s">
        <v>96</v>
      </c>
      <c r="D118" t="s">
        <v>73</v>
      </c>
      <c r="E118" t="s">
        <v>443</v>
      </c>
      <c r="F118" t="s">
        <v>131</v>
      </c>
      <c r="G118">
        <v>1</v>
      </c>
      <c r="H118" s="3">
        <v>3420</v>
      </c>
      <c r="I118" s="3">
        <v>3420</v>
      </c>
      <c r="J118" t="s">
        <v>76</v>
      </c>
      <c r="K118" t="s">
        <v>83</v>
      </c>
      <c r="L118" t="str">
        <f t="shared" si="1"/>
        <v>Friday</v>
      </c>
    </row>
    <row r="119" spans="1:12" ht="14.25" customHeight="1" x14ac:dyDescent="0.45">
      <c r="A119" t="s">
        <v>266</v>
      </c>
      <c r="B119" s="2" t="s">
        <v>156</v>
      </c>
      <c r="C119" t="s">
        <v>96</v>
      </c>
      <c r="D119" t="s">
        <v>196</v>
      </c>
      <c r="E119" t="s">
        <v>214</v>
      </c>
      <c r="F119" t="s">
        <v>123</v>
      </c>
      <c r="G119">
        <v>2</v>
      </c>
      <c r="H119" s="3">
        <v>15270</v>
      </c>
      <c r="I119" s="3">
        <v>30540</v>
      </c>
      <c r="J119" t="s">
        <v>82</v>
      </c>
      <c r="K119" t="s">
        <v>93</v>
      </c>
      <c r="L119" t="str">
        <f t="shared" si="1"/>
        <v>Monday</v>
      </c>
    </row>
    <row r="120" spans="1:12" ht="14.25" customHeight="1" x14ac:dyDescent="0.45">
      <c r="A120" t="s">
        <v>837</v>
      </c>
      <c r="B120" s="2" t="s">
        <v>658</v>
      </c>
      <c r="C120" t="s">
        <v>89</v>
      </c>
      <c r="D120" t="s">
        <v>334</v>
      </c>
      <c r="E120" t="s">
        <v>515</v>
      </c>
      <c r="F120" t="s">
        <v>97</v>
      </c>
      <c r="G120">
        <v>2</v>
      </c>
      <c r="H120" s="3">
        <v>1490</v>
      </c>
      <c r="I120" s="3">
        <v>2980</v>
      </c>
      <c r="J120" t="s">
        <v>82</v>
      </c>
      <c r="K120" t="s">
        <v>83</v>
      </c>
      <c r="L120" t="str">
        <f t="shared" si="1"/>
        <v>Wednesday</v>
      </c>
    </row>
    <row r="121" spans="1:12" ht="14.25" customHeight="1" x14ac:dyDescent="0.45">
      <c r="A121" t="s">
        <v>1243</v>
      </c>
      <c r="B121" s="2" t="s">
        <v>554</v>
      </c>
      <c r="C121" t="s">
        <v>100</v>
      </c>
      <c r="D121" t="s">
        <v>472</v>
      </c>
      <c r="E121" t="s">
        <v>691</v>
      </c>
      <c r="F121" t="s">
        <v>107</v>
      </c>
      <c r="G121">
        <v>1</v>
      </c>
      <c r="H121" s="3">
        <v>950</v>
      </c>
      <c r="I121" s="3">
        <v>950</v>
      </c>
      <c r="J121" t="s">
        <v>82</v>
      </c>
      <c r="K121" t="s">
        <v>83</v>
      </c>
      <c r="L121" t="str">
        <f t="shared" si="1"/>
        <v>Tuesday</v>
      </c>
    </row>
    <row r="122" spans="1:12" ht="14.25" customHeight="1" x14ac:dyDescent="0.45">
      <c r="A122" t="s">
        <v>975</v>
      </c>
      <c r="B122" s="2" t="s">
        <v>658</v>
      </c>
      <c r="C122" t="s">
        <v>96</v>
      </c>
      <c r="D122" t="s">
        <v>398</v>
      </c>
      <c r="E122" t="s">
        <v>448</v>
      </c>
      <c r="F122" t="s">
        <v>117</v>
      </c>
      <c r="G122">
        <v>1</v>
      </c>
      <c r="H122" s="3">
        <v>2170</v>
      </c>
      <c r="I122" s="3">
        <v>2170</v>
      </c>
      <c r="J122" t="s">
        <v>82</v>
      </c>
      <c r="K122" t="s">
        <v>93</v>
      </c>
      <c r="L122" t="str">
        <f t="shared" si="1"/>
        <v>Wednesday</v>
      </c>
    </row>
    <row r="123" spans="1:12" ht="14.25" customHeight="1" x14ac:dyDescent="0.45">
      <c r="A123" t="s">
        <v>816</v>
      </c>
      <c r="B123" s="2" t="s">
        <v>817</v>
      </c>
      <c r="C123" t="s">
        <v>96</v>
      </c>
      <c r="D123" t="s">
        <v>472</v>
      </c>
      <c r="E123" t="s">
        <v>500</v>
      </c>
      <c r="F123" t="s">
        <v>123</v>
      </c>
      <c r="G123">
        <v>2</v>
      </c>
      <c r="H123" s="3">
        <v>1540</v>
      </c>
      <c r="I123" s="3">
        <v>3080</v>
      </c>
      <c r="J123" t="s">
        <v>76</v>
      </c>
      <c r="K123" t="s">
        <v>83</v>
      </c>
      <c r="L123" t="str">
        <f t="shared" si="1"/>
        <v>Saturday</v>
      </c>
    </row>
    <row r="124" spans="1:12" ht="14.25" customHeight="1" x14ac:dyDescent="0.45">
      <c r="A124" t="s">
        <v>968</v>
      </c>
      <c r="B124" s="2" t="s">
        <v>585</v>
      </c>
      <c r="C124" t="s">
        <v>96</v>
      </c>
      <c r="D124" t="s">
        <v>398</v>
      </c>
      <c r="E124" t="s">
        <v>448</v>
      </c>
      <c r="F124" t="s">
        <v>97</v>
      </c>
      <c r="G124">
        <v>1</v>
      </c>
      <c r="H124" s="3">
        <v>2180</v>
      </c>
      <c r="I124" s="3">
        <v>2180</v>
      </c>
      <c r="J124" t="s">
        <v>82</v>
      </c>
      <c r="K124" t="s">
        <v>83</v>
      </c>
      <c r="L124" t="str">
        <f t="shared" si="1"/>
        <v>Saturday</v>
      </c>
    </row>
    <row r="125" spans="1:12" ht="14.25" customHeight="1" x14ac:dyDescent="0.45">
      <c r="A125" t="s">
        <v>348</v>
      </c>
      <c r="B125" s="2" t="s">
        <v>190</v>
      </c>
      <c r="C125" t="s">
        <v>89</v>
      </c>
      <c r="D125" t="s">
        <v>334</v>
      </c>
      <c r="E125" t="s">
        <v>335</v>
      </c>
      <c r="F125" t="s">
        <v>131</v>
      </c>
      <c r="G125">
        <v>4</v>
      </c>
      <c r="H125" s="3">
        <v>3860</v>
      </c>
      <c r="I125" s="3">
        <v>15440</v>
      </c>
      <c r="J125" t="s">
        <v>82</v>
      </c>
      <c r="K125" t="s">
        <v>93</v>
      </c>
      <c r="L125" t="str">
        <f t="shared" si="1"/>
        <v>Tuesday</v>
      </c>
    </row>
    <row r="126" spans="1:12" ht="14.25" customHeight="1" x14ac:dyDescent="0.45">
      <c r="A126" t="s">
        <v>1150</v>
      </c>
      <c r="B126" s="2" t="s">
        <v>591</v>
      </c>
      <c r="C126" t="s">
        <v>89</v>
      </c>
      <c r="D126" t="s">
        <v>334</v>
      </c>
      <c r="E126" t="s">
        <v>515</v>
      </c>
      <c r="F126" t="s">
        <v>123</v>
      </c>
      <c r="G126">
        <v>1</v>
      </c>
      <c r="H126" s="3">
        <v>1510</v>
      </c>
      <c r="I126" s="3">
        <v>1510</v>
      </c>
      <c r="J126" t="s">
        <v>82</v>
      </c>
      <c r="K126" t="s">
        <v>83</v>
      </c>
      <c r="L126" t="str">
        <f t="shared" si="1"/>
        <v>Tuesday</v>
      </c>
    </row>
    <row r="127" spans="1:12" ht="14.25" customHeight="1" x14ac:dyDescent="0.45">
      <c r="A127" t="s">
        <v>728</v>
      </c>
      <c r="B127" s="2" t="s">
        <v>595</v>
      </c>
      <c r="C127" t="s">
        <v>72</v>
      </c>
      <c r="D127" t="s">
        <v>73</v>
      </c>
      <c r="E127" t="s">
        <v>443</v>
      </c>
      <c r="F127" t="s">
        <v>117</v>
      </c>
      <c r="G127">
        <v>1</v>
      </c>
      <c r="H127" s="3">
        <v>3540</v>
      </c>
      <c r="I127" s="3">
        <v>3540</v>
      </c>
      <c r="J127" t="s">
        <v>76</v>
      </c>
      <c r="K127" t="s">
        <v>83</v>
      </c>
      <c r="L127" t="str">
        <f t="shared" si="1"/>
        <v>Wednesday</v>
      </c>
    </row>
    <row r="128" spans="1:12" ht="14.25" customHeight="1" x14ac:dyDescent="0.45">
      <c r="A128" t="s">
        <v>1011</v>
      </c>
      <c r="B128" s="2" t="s">
        <v>554</v>
      </c>
      <c r="C128" t="s">
        <v>96</v>
      </c>
      <c r="D128" t="s">
        <v>334</v>
      </c>
      <c r="E128" t="s">
        <v>527</v>
      </c>
      <c r="F128" t="s">
        <v>97</v>
      </c>
      <c r="G128">
        <v>1</v>
      </c>
      <c r="H128" s="3">
        <v>1970</v>
      </c>
      <c r="I128" s="3">
        <v>1970</v>
      </c>
      <c r="J128" t="s">
        <v>76</v>
      </c>
      <c r="K128" t="s">
        <v>77</v>
      </c>
      <c r="L128" t="str">
        <f t="shared" si="1"/>
        <v>Tuesday</v>
      </c>
    </row>
    <row r="129" spans="1:12" ht="14.25" customHeight="1" x14ac:dyDescent="0.45">
      <c r="A129" t="s">
        <v>760</v>
      </c>
      <c r="B129" s="2" t="s">
        <v>350</v>
      </c>
      <c r="C129" t="s">
        <v>100</v>
      </c>
      <c r="D129" t="s">
        <v>472</v>
      </c>
      <c r="E129" t="s">
        <v>500</v>
      </c>
      <c r="F129" t="s">
        <v>81</v>
      </c>
      <c r="G129">
        <v>2</v>
      </c>
      <c r="H129" s="3">
        <v>1610</v>
      </c>
      <c r="I129" s="3">
        <v>3220</v>
      </c>
      <c r="J129" t="s">
        <v>76</v>
      </c>
      <c r="K129" t="s">
        <v>83</v>
      </c>
      <c r="L129" t="str">
        <f t="shared" si="1"/>
        <v>Tuesday</v>
      </c>
    </row>
    <row r="130" spans="1:12" ht="14.25" customHeight="1" x14ac:dyDescent="0.45">
      <c r="A130" t="s">
        <v>573</v>
      </c>
      <c r="B130" s="2" t="s">
        <v>404</v>
      </c>
      <c r="C130" t="s">
        <v>80</v>
      </c>
      <c r="D130" t="s">
        <v>196</v>
      </c>
      <c r="E130" t="s">
        <v>300</v>
      </c>
      <c r="F130" t="s">
        <v>117</v>
      </c>
      <c r="G130">
        <v>1</v>
      </c>
      <c r="H130" s="3">
        <v>4600</v>
      </c>
      <c r="I130" s="3">
        <v>4600</v>
      </c>
      <c r="J130" t="s">
        <v>82</v>
      </c>
      <c r="K130" t="s">
        <v>93</v>
      </c>
      <c r="L130" t="str">
        <f t="shared" ref="L130:L193" si="2">TEXT(B130,"dddd")</f>
        <v>Thursday</v>
      </c>
    </row>
    <row r="131" spans="1:12" ht="14.25" customHeight="1" x14ac:dyDescent="0.45">
      <c r="A131" t="s">
        <v>551</v>
      </c>
      <c r="B131" s="2" t="s">
        <v>552</v>
      </c>
      <c r="C131" t="s">
        <v>96</v>
      </c>
      <c r="D131" t="s">
        <v>398</v>
      </c>
      <c r="E131" t="s">
        <v>464</v>
      </c>
      <c r="F131" t="s">
        <v>107</v>
      </c>
      <c r="G131">
        <v>2</v>
      </c>
      <c r="H131" s="3">
        <v>2500</v>
      </c>
      <c r="I131" s="3">
        <v>5000</v>
      </c>
      <c r="J131" t="s">
        <v>76</v>
      </c>
      <c r="K131" t="s">
        <v>83</v>
      </c>
      <c r="L131" t="str">
        <f t="shared" si="2"/>
        <v>Saturday</v>
      </c>
    </row>
    <row r="132" spans="1:12" ht="14.25" customHeight="1" x14ac:dyDescent="0.45">
      <c r="A132" t="s">
        <v>1117</v>
      </c>
      <c r="B132" s="2" t="s">
        <v>99</v>
      </c>
      <c r="C132" t="s">
        <v>80</v>
      </c>
      <c r="D132" t="s">
        <v>472</v>
      </c>
      <c r="E132" t="s">
        <v>500</v>
      </c>
      <c r="F132" t="s">
        <v>75</v>
      </c>
      <c r="G132">
        <v>1</v>
      </c>
      <c r="H132" s="3">
        <v>1600</v>
      </c>
      <c r="I132" s="3">
        <v>1600</v>
      </c>
      <c r="J132" t="s">
        <v>76</v>
      </c>
      <c r="K132" t="s">
        <v>83</v>
      </c>
      <c r="L132" t="str">
        <f t="shared" si="2"/>
        <v>Saturday</v>
      </c>
    </row>
    <row r="133" spans="1:12" ht="14.25" customHeight="1" x14ac:dyDescent="0.45">
      <c r="A133" t="s">
        <v>913</v>
      </c>
      <c r="B133" s="2" t="s">
        <v>670</v>
      </c>
      <c r="C133" t="s">
        <v>89</v>
      </c>
      <c r="D133" t="s">
        <v>472</v>
      </c>
      <c r="E133" t="s">
        <v>473</v>
      </c>
      <c r="F133" t="s">
        <v>81</v>
      </c>
      <c r="G133">
        <v>1</v>
      </c>
      <c r="H133" s="3">
        <v>2430</v>
      </c>
      <c r="I133" s="3">
        <v>2430</v>
      </c>
      <c r="J133" t="s">
        <v>76</v>
      </c>
      <c r="K133" t="s">
        <v>83</v>
      </c>
      <c r="L133" t="str">
        <f t="shared" si="2"/>
        <v>Monday</v>
      </c>
    </row>
    <row r="134" spans="1:12" ht="14.25" customHeight="1" x14ac:dyDescent="0.45">
      <c r="A134" t="s">
        <v>779</v>
      </c>
      <c r="B134" s="2" t="s">
        <v>658</v>
      </c>
      <c r="C134" t="s">
        <v>96</v>
      </c>
      <c r="D134" t="s">
        <v>472</v>
      </c>
      <c r="E134" t="s">
        <v>497</v>
      </c>
      <c r="F134" t="s">
        <v>117</v>
      </c>
      <c r="G134">
        <v>1</v>
      </c>
      <c r="H134" s="3">
        <v>3170</v>
      </c>
      <c r="I134" s="3">
        <v>3170</v>
      </c>
      <c r="J134" t="s">
        <v>82</v>
      </c>
      <c r="K134" t="s">
        <v>93</v>
      </c>
      <c r="L134" t="str">
        <f t="shared" si="2"/>
        <v>Wednesday</v>
      </c>
    </row>
    <row r="135" spans="1:12" ht="14.25" customHeight="1" x14ac:dyDescent="0.45">
      <c r="A135" t="s">
        <v>215</v>
      </c>
      <c r="B135" s="2" t="s">
        <v>216</v>
      </c>
      <c r="C135" t="s">
        <v>100</v>
      </c>
      <c r="D135" t="s">
        <v>73</v>
      </c>
      <c r="E135" t="s">
        <v>101</v>
      </c>
      <c r="F135" t="s">
        <v>81</v>
      </c>
      <c r="G135">
        <v>1</v>
      </c>
      <c r="H135" s="3">
        <v>43640</v>
      </c>
      <c r="I135" s="3">
        <v>43640</v>
      </c>
      <c r="J135" t="s">
        <v>82</v>
      </c>
      <c r="K135" t="s">
        <v>93</v>
      </c>
      <c r="L135" t="str">
        <f t="shared" si="2"/>
        <v>Sunday</v>
      </c>
    </row>
    <row r="136" spans="1:12" ht="14.25" customHeight="1" x14ac:dyDescent="0.45">
      <c r="A136" t="s">
        <v>1230</v>
      </c>
      <c r="B136" s="2" t="s">
        <v>554</v>
      </c>
      <c r="C136" t="s">
        <v>72</v>
      </c>
      <c r="D136" t="s">
        <v>472</v>
      </c>
      <c r="E136" t="s">
        <v>691</v>
      </c>
      <c r="F136" t="s">
        <v>131</v>
      </c>
      <c r="G136">
        <v>1</v>
      </c>
      <c r="H136" s="3">
        <v>980</v>
      </c>
      <c r="I136" s="3">
        <v>980</v>
      </c>
      <c r="J136" t="s">
        <v>82</v>
      </c>
      <c r="K136" t="s">
        <v>83</v>
      </c>
      <c r="L136" t="str">
        <f t="shared" si="2"/>
        <v>Tuesday</v>
      </c>
    </row>
    <row r="137" spans="1:12" ht="14.25" customHeight="1" x14ac:dyDescent="0.45">
      <c r="A137" t="s">
        <v>1063</v>
      </c>
      <c r="B137" s="2" t="s">
        <v>869</v>
      </c>
      <c r="C137" t="s">
        <v>72</v>
      </c>
      <c r="D137" t="s">
        <v>398</v>
      </c>
      <c r="E137" t="s">
        <v>475</v>
      </c>
      <c r="F137" t="s">
        <v>123</v>
      </c>
      <c r="G137">
        <v>1</v>
      </c>
      <c r="H137" s="3">
        <v>1830</v>
      </c>
      <c r="I137" s="3">
        <v>1830</v>
      </c>
      <c r="J137" t="s">
        <v>82</v>
      </c>
      <c r="K137" t="s">
        <v>93</v>
      </c>
      <c r="L137" t="str">
        <f t="shared" si="2"/>
        <v>Monday</v>
      </c>
    </row>
    <row r="138" spans="1:12" ht="14.25" customHeight="1" x14ac:dyDescent="0.45">
      <c r="A138" t="s">
        <v>976</v>
      </c>
      <c r="B138" s="2" t="s">
        <v>656</v>
      </c>
      <c r="C138" t="s">
        <v>72</v>
      </c>
      <c r="D138" t="s">
        <v>398</v>
      </c>
      <c r="E138" t="s">
        <v>462</v>
      </c>
      <c r="F138" t="s">
        <v>107</v>
      </c>
      <c r="G138">
        <v>1</v>
      </c>
      <c r="H138" s="3">
        <v>2170</v>
      </c>
      <c r="I138" s="3">
        <v>2170</v>
      </c>
      <c r="J138" t="s">
        <v>76</v>
      </c>
      <c r="K138" t="s">
        <v>83</v>
      </c>
      <c r="L138" t="str">
        <f t="shared" si="2"/>
        <v>Sunday</v>
      </c>
    </row>
    <row r="139" spans="1:12" ht="14.25" customHeight="1" x14ac:dyDescent="0.45">
      <c r="A139" t="s">
        <v>624</v>
      </c>
      <c r="B139" s="2" t="s">
        <v>593</v>
      </c>
      <c r="C139" t="s">
        <v>80</v>
      </c>
      <c r="D139" t="s">
        <v>398</v>
      </c>
      <c r="E139" t="s">
        <v>462</v>
      </c>
      <c r="F139" t="s">
        <v>131</v>
      </c>
      <c r="G139">
        <v>2</v>
      </c>
      <c r="H139" s="3">
        <v>2160</v>
      </c>
      <c r="I139" s="3">
        <v>4320</v>
      </c>
      <c r="J139" t="s">
        <v>76</v>
      </c>
      <c r="K139" t="s">
        <v>77</v>
      </c>
      <c r="L139" t="str">
        <f t="shared" si="2"/>
        <v>Saturday</v>
      </c>
    </row>
    <row r="140" spans="1:12" ht="14.25" customHeight="1" x14ac:dyDescent="0.45">
      <c r="A140" t="s">
        <v>949</v>
      </c>
      <c r="B140" s="2" t="s">
        <v>950</v>
      </c>
      <c r="C140" t="s">
        <v>100</v>
      </c>
      <c r="D140" t="s">
        <v>398</v>
      </c>
      <c r="E140" t="s">
        <v>448</v>
      </c>
      <c r="F140" t="s">
        <v>81</v>
      </c>
      <c r="G140">
        <v>1</v>
      </c>
      <c r="H140" s="3">
        <v>2260</v>
      </c>
      <c r="I140" s="3">
        <v>2260</v>
      </c>
      <c r="J140" t="s">
        <v>82</v>
      </c>
      <c r="K140" t="s">
        <v>93</v>
      </c>
      <c r="L140" t="str">
        <f t="shared" si="2"/>
        <v>Saturday</v>
      </c>
    </row>
    <row r="141" spans="1:12" ht="14.25" customHeight="1" x14ac:dyDescent="0.45">
      <c r="A141" t="s">
        <v>413</v>
      </c>
      <c r="B141" s="2" t="s">
        <v>414</v>
      </c>
      <c r="C141" t="s">
        <v>100</v>
      </c>
      <c r="D141" t="s">
        <v>73</v>
      </c>
      <c r="E141" t="s">
        <v>211</v>
      </c>
      <c r="F141" t="s">
        <v>123</v>
      </c>
      <c r="G141">
        <v>1</v>
      </c>
      <c r="H141" s="3">
        <v>12080</v>
      </c>
      <c r="I141" s="3">
        <v>12080</v>
      </c>
      <c r="J141" t="s">
        <v>76</v>
      </c>
      <c r="K141" t="s">
        <v>93</v>
      </c>
      <c r="L141" t="str">
        <f t="shared" si="2"/>
        <v>Friday</v>
      </c>
    </row>
    <row r="142" spans="1:12" ht="14.25" customHeight="1" x14ac:dyDescent="0.45">
      <c r="A142" t="s">
        <v>1218</v>
      </c>
      <c r="B142" s="2" t="s">
        <v>354</v>
      </c>
      <c r="C142" t="s">
        <v>96</v>
      </c>
      <c r="D142" t="s">
        <v>472</v>
      </c>
      <c r="E142" t="s">
        <v>557</v>
      </c>
      <c r="F142" t="s">
        <v>123</v>
      </c>
      <c r="G142">
        <v>1</v>
      </c>
      <c r="H142" s="3">
        <v>1160</v>
      </c>
      <c r="I142" s="3">
        <v>1160</v>
      </c>
      <c r="J142" t="s">
        <v>76</v>
      </c>
      <c r="K142" t="s">
        <v>77</v>
      </c>
      <c r="L142" t="str">
        <f t="shared" si="2"/>
        <v>Thursday</v>
      </c>
    </row>
    <row r="143" spans="1:12" ht="14.25" customHeight="1" x14ac:dyDescent="0.45">
      <c r="A143" t="s">
        <v>468</v>
      </c>
      <c r="B143" s="2" t="s">
        <v>156</v>
      </c>
      <c r="C143" t="s">
        <v>100</v>
      </c>
      <c r="D143" t="s">
        <v>334</v>
      </c>
      <c r="E143" t="s">
        <v>335</v>
      </c>
      <c r="F143" t="s">
        <v>107</v>
      </c>
      <c r="G143">
        <v>2</v>
      </c>
      <c r="H143" s="3">
        <v>3870</v>
      </c>
      <c r="I143" s="3">
        <v>7740</v>
      </c>
      <c r="J143" t="s">
        <v>82</v>
      </c>
      <c r="K143" t="s">
        <v>83</v>
      </c>
      <c r="L143" t="str">
        <f t="shared" si="2"/>
        <v>Monday</v>
      </c>
    </row>
    <row r="144" spans="1:12" ht="14.25" customHeight="1" x14ac:dyDescent="0.45">
      <c r="A144" t="s">
        <v>1198</v>
      </c>
      <c r="B144" s="2" t="s">
        <v>137</v>
      </c>
      <c r="C144" t="s">
        <v>72</v>
      </c>
      <c r="D144" t="s">
        <v>472</v>
      </c>
      <c r="E144" t="s">
        <v>557</v>
      </c>
      <c r="F144" t="s">
        <v>140</v>
      </c>
      <c r="G144">
        <v>1</v>
      </c>
      <c r="H144" s="3">
        <v>1200</v>
      </c>
      <c r="I144" s="3">
        <v>1200</v>
      </c>
      <c r="J144" t="s">
        <v>76</v>
      </c>
      <c r="K144" t="s">
        <v>77</v>
      </c>
      <c r="L144" t="str">
        <f t="shared" si="2"/>
        <v>Monday</v>
      </c>
    </row>
    <row r="145" spans="1:12" ht="14.25" customHeight="1" x14ac:dyDescent="0.45">
      <c r="A145" t="s">
        <v>1058</v>
      </c>
      <c r="B145" s="2" t="s">
        <v>583</v>
      </c>
      <c r="C145" t="s">
        <v>72</v>
      </c>
      <c r="D145" t="s">
        <v>334</v>
      </c>
      <c r="E145" t="s">
        <v>527</v>
      </c>
      <c r="F145" t="s">
        <v>81</v>
      </c>
      <c r="G145">
        <v>1</v>
      </c>
      <c r="H145" s="3">
        <v>1840</v>
      </c>
      <c r="I145" s="3">
        <v>1840</v>
      </c>
      <c r="J145" t="s">
        <v>76</v>
      </c>
      <c r="K145" t="s">
        <v>77</v>
      </c>
      <c r="L145" t="str">
        <f t="shared" si="2"/>
        <v>Wednesday</v>
      </c>
    </row>
    <row r="146" spans="1:12" ht="14.25" customHeight="1" x14ac:dyDescent="0.45">
      <c r="A146" t="s">
        <v>1041</v>
      </c>
      <c r="B146" s="2" t="s">
        <v>158</v>
      </c>
      <c r="C146" t="s">
        <v>96</v>
      </c>
      <c r="D146" t="s">
        <v>398</v>
      </c>
      <c r="E146" t="s">
        <v>475</v>
      </c>
      <c r="F146" t="s">
        <v>81</v>
      </c>
      <c r="G146">
        <v>1</v>
      </c>
      <c r="H146" s="3">
        <v>1870</v>
      </c>
      <c r="I146" s="3">
        <v>1870</v>
      </c>
      <c r="J146" t="s">
        <v>76</v>
      </c>
      <c r="K146" t="s">
        <v>77</v>
      </c>
      <c r="L146" t="str">
        <f t="shared" si="2"/>
        <v>Friday</v>
      </c>
    </row>
    <row r="147" spans="1:12" ht="14.25" customHeight="1" x14ac:dyDescent="0.45">
      <c r="A147" t="s">
        <v>1042</v>
      </c>
      <c r="B147" s="2" t="s">
        <v>770</v>
      </c>
      <c r="C147" t="s">
        <v>96</v>
      </c>
      <c r="D147" t="s">
        <v>334</v>
      </c>
      <c r="E147" t="s">
        <v>527</v>
      </c>
      <c r="F147" t="s">
        <v>123</v>
      </c>
      <c r="G147">
        <v>1</v>
      </c>
      <c r="H147" s="3">
        <v>1870</v>
      </c>
      <c r="I147" s="3">
        <v>1870</v>
      </c>
      <c r="J147" t="s">
        <v>76</v>
      </c>
      <c r="K147" t="s">
        <v>93</v>
      </c>
      <c r="L147" t="str">
        <f t="shared" si="2"/>
        <v>Wednesday</v>
      </c>
    </row>
    <row r="148" spans="1:12" ht="14.25" customHeight="1" x14ac:dyDescent="0.45">
      <c r="A148" t="s">
        <v>803</v>
      </c>
      <c r="B148" s="2" t="s">
        <v>92</v>
      </c>
      <c r="C148" t="s">
        <v>96</v>
      </c>
      <c r="D148" t="s">
        <v>472</v>
      </c>
      <c r="E148" t="s">
        <v>497</v>
      </c>
      <c r="F148" t="s">
        <v>117</v>
      </c>
      <c r="G148">
        <v>1</v>
      </c>
      <c r="H148" s="3">
        <v>3120</v>
      </c>
      <c r="I148" s="3">
        <v>3120</v>
      </c>
      <c r="J148" t="s">
        <v>82</v>
      </c>
      <c r="K148" t="s">
        <v>83</v>
      </c>
      <c r="L148" t="str">
        <f t="shared" si="2"/>
        <v>Saturday</v>
      </c>
    </row>
    <row r="149" spans="1:12" ht="14.25" customHeight="1" x14ac:dyDescent="0.45">
      <c r="A149" t="s">
        <v>969</v>
      </c>
      <c r="B149" s="2" t="s">
        <v>204</v>
      </c>
      <c r="C149" t="s">
        <v>96</v>
      </c>
      <c r="D149" t="s">
        <v>398</v>
      </c>
      <c r="E149" t="s">
        <v>448</v>
      </c>
      <c r="F149" t="s">
        <v>81</v>
      </c>
      <c r="G149">
        <v>1</v>
      </c>
      <c r="H149" s="3">
        <v>2180</v>
      </c>
      <c r="I149" s="3">
        <v>2180</v>
      </c>
      <c r="J149" t="s">
        <v>76</v>
      </c>
      <c r="K149" t="s">
        <v>77</v>
      </c>
      <c r="L149" t="str">
        <f t="shared" si="2"/>
        <v>Monday</v>
      </c>
    </row>
    <row r="150" spans="1:12" ht="14.25" customHeight="1" x14ac:dyDescent="0.45">
      <c r="A150" t="s">
        <v>894</v>
      </c>
      <c r="B150" s="2" t="s">
        <v>343</v>
      </c>
      <c r="C150" t="s">
        <v>80</v>
      </c>
      <c r="D150" t="s">
        <v>398</v>
      </c>
      <c r="E150" t="s">
        <v>464</v>
      </c>
      <c r="F150" t="s">
        <v>140</v>
      </c>
      <c r="G150">
        <v>1</v>
      </c>
      <c r="H150" s="3">
        <v>2500</v>
      </c>
      <c r="I150" s="3">
        <v>2500</v>
      </c>
      <c r="J150" t="s">
        <v>76</v>
      </c>
      <c r="K150" t="s">
        <v>83</v>
      </c>
      <c r="L150" t="str">
        <f t="shared" si="2"/>
        <v>Monday</v>
      </c>
    </row>
    <row r="151" spans="1:12" ht="14.25" customHeight="1" x14ac:dyDescent="0.45">
      <c r="A151" t="s">
        <v>1019</v>
      </c>
      <c r="B151" s="2" t="s">
        <v>537</v>
      </c>
      <c r="C151" t="s">
        <v>89</v>
      </c>
      <c r="D151" t="s">
        <v>472</v>
      </c>
      <c r="E151" t="s">
        <v>691</v>
      </c>
      <c r="F151" t="s">
        <v>117</v>
      </c>
      <c r="G151">
        <v>2</v>
      </c>
      <c r="H151" s="3">
        <v>970</v>
      </c>
      <c r="I151" s="3">
        <v>1940</v>
      </c>
      <c r="J151" t="s">
        <v>82</v>
      </c>
      <c r="K151" t="s">
        <v>77</v>
      </c>
      <c r="L151" t="str">
        <f t="shared" si="2"/>
        <v>Sunday</v>
      </c>
    </row>
    <row r="152" spans="1:12" ht="14.25" customHeight="1" x14ac:dyDescent="0.45">
      <c r="A152" t="s">
        <v>1171</v>
      </c>
      <c r="B152" s="2" t="s">
        <v>544</v>
      </c>
      <c r="C152" t="s">
        <v>89</v>
      </c>
      <c r="D152" t="s">
        <v>472</v>
      </c>
      <c r="E152" t="s">
        <v>557</v>
      </c>
      <c r="F152" t="s">
        <v>123</v>
      </c>
      <c r="G152">
        <v>1</v>
      </c>
      <c r="H152" s="3">
        <v>1240</v>
      </c>
      <c r="I152" s="3">
        <v>1240</v>
      </c>
      <c r="J152" t="s">
        <v>76</v>
      </c>
      <c r="K152" t="s">
        <v>77</v>
      </c>
      <c r="L152" t="str">
        <f t="shared" si="2"/>
        <v>Sunday</v>
      </c>
    </row>
    <row r="153" spans="1:12" ht="14.25" customHeight="1" x14ac:dyDescent="0.45">
      <c r="A153" t="s">
        <v>936</v>
      </c>
      <c r="B153" s="2" t="s">
        <v>127</v>
      </c>
      <c r="C153" t="s">
        <v>96</v>
      </c>
      <c r="D153" t="s">
        <v>472</v>
      </c>
      <c r="E153" t="s">
        <v>473</v>
      </c>
      <c r="F153" t="s">
        <v>90</v>
      </c>
      <c r="G153">
        <v>1</v>
      </c>
      <c r="H153" s="3">
        <v>2330</v>
      </c>
      <c r="I153" s="3">
        <v>2330</v>
      </c>
      <c r="J153" t="s">
        <v>76</v>
      </c>
      <c r="K153" t="s">
        <v>77</v>
      </c>
      <c r="L153" t="str">
        <f t="shared" si="2"/>
        <v>Saturday</v>
      </c>
    </row>
    <row r="154" spans="1:12" ht="14.25" customHeight="1" x14ac:dyDescent="0.45">
      <c r="A154" t="s">
        <v>818</v>
      </c>
      <c r="B154" s="2" t="s">
        <v>530</v>
      </c>
      <c r="C154" t="s">
        <v>89</v>
      </c>
      <c r="D154" t="s">
        <v>334</v>
      </c>
      <c r="E154" t="s">
        <v>515</v>
      </c>
      <c r="F154" t="s">
        <v>97</v>
      </c>
      <c r="G154">
        <v>2</v>
      </c>
      <c r="H154" s="3">
        <v>1540</v>
      </c>
      <c r="I154" s="3">
        <v>3080</v>
      </c>
      <c r="J154" t="s">
        <v>82</v>
      </c>
      <c r="K154" t="s">
        <v>93</v>
      </c>
      <c r="L154" t="str">
        <f t="shared" si="2"/>
        <v>Tuesday</v>
      </c>
    </row>
    <row r="155" spans="1:12" ht="14.25" customHeight="1" x14ac:dyDescent="0.45">
      <c r="A155" t="s">
        <v>168</v>
      </c>
      <c r="B155" s="2" t="s">
        <v>169</v>
      </c>
      <c r="C155" t="s">
        <v>80</v>
      </c>
      <c r="D155" t="s">
        <v>73</v>
      </c>
      <c r="E155" t="s">
        <v>101</v>
      </c>
      <c r="F155" t="s">
        <v>140</v>
      </c>
      <c r="G155">
        <v>2</v>
      </c>
      <c r="H155" s="3">
        <v>42030</v>
      </c>
      <c r="I155" s="3">
        <v>84060</v>
      </c>
      <c r="J155" t="s">
        <v>82</v>
      </c>
      <c r="K155" t="s">
        <v>77</v>
      </c>
      <c r="L155" t="str">
        <f t="shared" si="2"/>
        <v>Saturday</v>
      </c>
    </row>
    <row r="156" spans="1:12" ht="14.25" customHeight="1" x14ac:dyDescent="0.45">
      <c r="A156" t="s">
        <v>857</v>
      </c>
      <c r="B156" s="2" t="s">
        <v>617</v>
      </c>
      <c r="C156" t="s">
        <v>89</v>
      </c>
      <c r="D156" t="s">
        <v>73</v>
      </c>
      <c r="E156" t="s">
        <v>441</v>
      </c>
      <c r="F156" t="s">
        <v>75</v>
      </c>
      <c r="G156">
        <v>1</v>
      </c>
      <c r="H156" s="3">
        <v>2770</v>
      </c>
      <c r="I156" s="3">
        <v>2770</v>
      </c>
      <c r="J156" t="s">
        <v>76</v>
      </c>
      <c r="K156" t="s">
        <v>77</v>
      </c>
      <c r="L156" t="str">
        <f t="shared" si="2"/>
        <v>Thursday</v>
      </c>
    </row>
    <row r="157" spans="1:12" ht="14.25" customHeight="1" x14ac:dyDescent="0.45">
      <c r="A157" t="s">
        <v>766</v>
      </c>
      <c r="B157" s="2" t="s">
        <v>481</v>
      </c>
      <c r="C157" t="s">
        <v>89</v>
      </c>
      <c r="D157" t="s">
        <v>472</v>
      </c>
      <c r="E157" t="s">
        <v>497</v>
      </c>
      <c r="F157" t="s">
        <v>140</v>
      </c>
      <c r="G157">
        <v>1</v>
      </c>
      <c r="H157" s="3">
        <v>3200</v>
      </c>
      <c r="I157" s="3">
        <v>3200</v>
      </c>
      <c r="J157" t="s">
        <v>76</v>
      </c>
      <c r="K157" t="s">
        <v>83</v>
      </c>
      <c r="L157" t="str">
        <f t="shared" si="2"/>
        <v>Monday</v>
      </c>
    </row>
    <row r="158" spans="1:12" ht="14.25" customHeight="1" x14ac:dyDescent="0.45">
      <c r="A158" t="s">
        <v>711</v>
      </c>
      <c r="B158" s="2" t="s">
        <v>173</v>
      </c>
      <c r="C158" t="s">
        <v>100</v>
      </c>
      <c r="D158" t="s">
        <v>334</v>
      </c>
      <c r="E158" t="s">
        <v>527</v>
      </c>
      <c r="F158" t="s">
        <v>117</v>
      </c>
      <c r="G158">
        <v>2</v>
      </c>
      <c r="H158" s="3">
        <v>1850</v>
      </c>
      <c r="I158" s="3">
        <v>3700</v>
      </c>
      <c r="J158" t="s">
        <v>76</v>
      </c>
      <c r="K158" t="s">
        <v>77</v>
      </c>
      <c r="L158" t="str">
        <f t="shared" si="2"/>
        <v>Tuesday</v>
      </c>
    </row>
    <row r="159" spans="1:12" ht="14.25" customHeight="1" x14ac:dyDescent="0.45">
      <c r="A159" t="s">
        <v>566</v>
      </c>
      <c r="B159" s="2" t="s">
        <v>428</v>
      </c>
      <c r="C159" t="s">
        <v>96</v>
      </c>
      <c r="D159" t="s">
        <v>196</v>
      </c>
      <c r="E159" t="s">
        <v>300</v>
      </c>
      <c r="F159" t="s">
        <v>81</v>
      </c>
      <c r="G159">
        <v>1</v>
      </c>
      <c r="H159" s="3">
        <v>4620</v>
      </c>
      <c r="I159" s="3">
        <v>4620</v>
      </c>
      <c r="J159" t="s">
        <v>82</v>
      </c>
      <c r="K159" t="s">
        <v>77</v>
      </c>
      <c r="L159" t="str">
        <f t="shared" si="2"/>
        <v>Friday</v>
      </c>
    </row>
    <row r="160" spans="1:12" ht="14.25" customHeight="1" x14ac:dyDescent="0.45">
      <c r="A160" t="s">
        <v>633</v>
      </c>
      <c r="B160" s="2" t="s">
        <v>509</v>
      </c>
      <c r="C160" t="s">
        <v>89</v>
      </c>
      <c r="D160" t="s">
        <v>398</v>
      </c>
      <c r="E160" t="s">
        <v>462</v>
      </c>
      <c r="F160" t="s">
        <v>131</v>
      </c>
      <c r="G160">
        <v>2</v>
      </c>
      <c r="H160" s="3">
        <v>2140</v>
      </c>
      <c r="I160" s="3">
        <v>4280</v>
      </c>
      <c r="J160" t="s">
        <v>76</v>
      </c>
      <c r="K160" t="s">
        <v>93</v>
      </c>
      <c r="L160" t="str">
        <f t="shared" si="2"/>
        <v>Tuesday</v>
      </c>
    </row>
    <row r="161" spans="1:12" ht="14.25" customHeight="1" x14ac:dyDescent="0.45">
      <c r="A161" t="s">
        <v>864</v>
      </c>
      <c r="B161" s="2" t="s">
        <v>192</v>
      </c>
      <c r="C161" t="s">
        <v>72</v>
      </c>
      <c r="D161" t="s">
        <v>398</v>
      </c>
      <c r="E161" t="s">
        <v>464</v>
      </c>
      <c r="F161" t="s">
        <v>117</v>
      </c>
      <c r="G161">
        <v>1</v>
      </c>
      <c r="H161" s="3">
        <v>2690</v>
      </c>
      <c r="I161" s="3">
        <v>2690</v>
      </c>
      <c r="J161" t="s">
        <v>76</v>
      </c>
      <c r="K161" t="s">
        <v>77</v>
      </c>
      <c r="L161" t="str">
        <f t="shared" si="2"/>
        <v>Saturday</v>
      </c>
    </row>
    <row r="162" spans="1:12" ht="14.25" customHeight="1" x14ac:dyDescent="0.45">
      <c r="A162" t="s">
        <v>341</v>
      </c>
      <c r="B162" s="2" t="s">
        <v>240</v>
      </c>
      <c r="C162" t="s">
        <v>96</v>
      </c>
      <c r="D162" t="s">
        <v>196</v>
      </c>
      <c r="E162" t="s">
        <v>214</v>
      </c>
      <c r="F162" t="s">
        <v>75</v>
      </c>
      <c r="G162">
        <v>1</v>
      </c>
      <c r="H162" s="3">
        <v>15630</v>
      </c>
      <c r="I162" s="3">
        <v>15630</v>
      </c>
      <c r="J162" t="s">
        <v>76</v>
      </c>
      <c r="K162" t="s">
        <v>93</v>
      </c>
      <c r="L162" t="str">
        <f t="shared" si="2"/>
        <v>Friday</v>
      </c>
    </row>
    <row r="163" spans="1:12" ht="14.25" customHeight="1" x14ac:dyDescent="0.45">
      <c r="A163" t="s">
        <v>488</v>
      </c>
      <c r="B163" s="2" t="s">
        <v>489</v>
      </c>
      <c r="C163" t="s">
        <v>89</v>
      </c>
      <c r="D163" t="s">
        <v>398</v>
      </c>
      <c r="E163" t="s">
        <v>399</v>
      </c>
      <c r="F163" t="s">
        <v>86</v>
      </c>
      <c r="G163">
        <v>2</v>
      </c>
      <c r="H163" s="3">
        <v>3300</v>
      </c>
      <c r="I163" s="3">
        <v>6600</v>
      </c>
      <c r="J163" t="s">
        <v>82</v>
      </c>
      <c r="K163" t="s">
        <v>77</v>
      </c>
      <c r="L163" t="str">
        <f t="shared" si="2"/>
        <v>Thursday</v>
      </c>
    </row>
    <row r="164" spans="1:12" ht="14.25" customHeight="1" x14ac:dyDescent="0.45">
      <c r="A164" t="s">
        <v>1049</v>
      </c>
      <c r="B164" s="2" t="s">
        <v>135</v>
      </c>
      <c r="C164" t="s">
        <v>89</v>
      </c>
      <c r="D164" t="s">
        <v>334</v>
      </c>
      <c r="E164" t="s">
        <v>527</v>
      </c>
      <c r="F164" t="s">
        <v>117</v>
      </c>
      <c r="G164">
        <v>1</v>
      </c>
      <c r="H164" s="3">
        <v>1860</v>
      </c>
      <c r="I164" s="3">
        <v>1860</v>
      </c>
      <c r="J164" t="s">
        <v>76</v>
      </c>
      <c r="K164" t="s">
        <v>83</v>
      </c>
      <c r="L164" t="str">
        <f t="shared" si="2"/>
        <v>Saturday</v>
      </c>
    </row>
    <row r="165" spans="1:12" ht="14.25" customHeight="1" x14ac:dyDescent="0.45">
      <c r="A165" t="s">
        <v>977</v>
      </c>
      <c r="B165" s="2" t="s">
        <v>481</v>
      </c>
      <c r="C165" t="s">
        <v>80</v>
      </c>
      <c r="D165" t="s">
        <v>398</v>
      </c>
      <c r="E165" t="s">
        <v>448</v>
      </c>
      <c r="F165" t="s">
        <v>140</v>
      </c>
      <c r="G165">
        <v>1</v>
      </c>
      <c r="H165" s="3">
        <v>2170</v>
      </c>
      <c r="I165" s="3">
        <v>2170</v>
      </c>
      <c r="J165" t="s">
        <v>76</v>
      </c>
      <c r="K165" t="s">
        <v>93</v>
      </c>
      <c r="L165" t="str">
        <f t="shared" si="2"/>
        <v>Monday</v>
      </c>
    </row>
    <row r="166" spans="1:12" ht="14.25" customHeight="1" x14ac:dyDescent="0.45">
      <c r="A166" t="s">
        <v>366</v>
      </c>
      <c r="B166" s="2" t="s">
        <v>367</v>
      </c>
      <c r="C166" t="s">
        <v>72</v>
      </c>
      <c r="D166" t="s">
        <v>196</v>
      </c>
      <c r="E166" t="s">
        <v>214</v>
      </c>
      <c r="F166" t="s">
        <v>107</v>
      </c>
      <c r="G166">
        <v>1</v>
      </c>
      <c r="H166" s="3">
        <v>14960</v>
      </c>
      <c r="I166" s="3">
        <v>14960</v>
      </c>
      <c r="J166" t="s">
        <v>76</v>
      </c>
      <c r="K166" t="s">
        <v>77</v>
      </c>
      <c r="L166" t="str">
        <f t="shared" si="2"/>
        <v>Thursday</v>
      </c>
    </row>
    <row r="167" spans="1:12" ht="14.25" customHeight="1" x14ac:dyDescent="0.45">
      <c r="A167" t="s">
        <v>555</v>
      </c>
      <c r="B167" s="2" t="s">
        <v>556</v>
      </c>
      <c r="C167" t="s">
        <v>100</v>
      </c>
      <c r="D167" t="s">
        <v>472</v>
      </c>
      <c r="E167" t="s">
        <v>557</v>
      </c>
      <c r="F167" t="s">
        <v>75</v>
      </c>
      <c r="G167">
        <v>4</v>
      </c>
      <c r="H167" s="3">
        <v>1240</v>
      </c>
      <c r="I167" s="3">
        <v>4960</v>
      </c>
      <c r="J167" t="s">
        <v>76</v>
      </c>
      <c r="K167" t="s">
        <v>83</v>
      </c>
      <c r="L167" t="str">
        <f t="shared" si="2"/>
        <v>Monday</v>
      </c>
    </row>
    <row r="168" spans="1:12" ht="14.25" customHeight="1" x14ac:dyDescent="0.45">
      <c r="A168" t="s">
        <v>157</v>
      </c>
      <c r="B168" s="2" t="s">
        <v>158</v>
      </c>
      <c r="C168" t="s">
        <v>100</v>
      </c>
      <c r="D168" t="s">
        <v>73</v>
      </c>
      <c r="E168" t="s">
        <v>74</v>
      </c>
      <c r="F168" t="s">
        <v>75</v>
      </c>
      <c r="G168">
        <v>1</v>
      </c>
      <c r="H168" s="3">
        <v>93160</v>
      </c>
      <c r="I168" s="3">
        <v>93160</v>
      </c>
      <c r="J168" t="s">
        <v>76</v>
      </c>
      <c r="K168" t="s">
        <v>93</v>
      </c>
      <c r="L168" t="str">
        <f t="shared" si="2"/>
        <v>Friday</v>
      </c>
    </row>
    <row r="169" spans="1:12" ht="14.25" customHeight="1" x14ac:dyDescent="0.45">
      <c r="A169" t="s">
        <v>1125</v>
      </c>
      <c r="B169" s="2" t="s">
        <v>537</v>
      </c>
      <c r="C169" t="s">
        <v>100</v>
      </c>
      <c r="D169" t="s">
        <v>472</v>
      </c>
      <c r="E169" t="s">
        <v>500</v>
      </c>
      <c r="F169" t="s">
        <v>90</v>
      </c>
      <c r="G169">
        <v>1</v>
      </c>
      <c r="H169" s="3">
        <v>1570</v>
      </c>
      <c r="I169" s="3">
        <v>1570</v>
      </c>
      <c r="J169" t="s">
        <v>82</v>
      </c>
      <c r="K169" t="s">
        <v>93</v>
      </c>
      <c r="L169" t="str">
        <f t="shared" si="2"/>
        <v>Sunday</v>
      </c>
    </row>
    <row r="170" spans="1:12" ht="14.25" customHeight="1" x14ac:dyDescent="0.45">
      <c r="A170" t="s">
        <v>886</v>
      </c>
      <c r="B170" s="2" t="s">
        <v>146</v>
      </c>
      <c r="C170" t="s">
        <v>80</v>
      </c>
      <c r="D170" t="s">
        <v>398</v>
      </c>
      <c r="E170" t="s">
        <v>464</v>
      </c>
      <c r="F170" t="s">
        <v>81</v>
      </c>
      <c r="G170">
        <v>1</v>
      </c>
      <c r="H170" s="3">
        <v>2530</v>
      </c>
      <c r="I170" s="3">
        <v>2530</v>
      </c>
      <c r="J170" t="s">
        <v>76</v>
      </c>
      <c r="K170" t="s">
        <v>77</v>
      </c>
      <c r="L170" t="str">
        <f t="shared" si="2"/>
        <v>Saturday</v>
      </c>
    </row>
    <row r="171" spans="1:12" ht="14.25" customHeight="1" x14ac:dyDescent="0.45">
      <c r="A171" t="s">
        <v>592</v>
      </c>
      <c r="B171" s="2" t="s">
        <v>593</v>
      </c>
      <c r="C171" t="s">
        <v>100</v>
      </c>
      <c r="D171" t="s">
        <v>398</v>
      </c>
      <c r="E171" t="s">
        <v>448</v>
      </c>
      <c r="F171" t="s">
        <v>86</v>
      </c>
      <c r="G171">
        <v>2</v>
      </c>
      <c r="H171" s="3">
        <v>2250</v>
      </c>
      <c r="I171" s="3">
        <v>4500</v>
      </c>
      <c r="J171" t="s">
        <v>76</v>
      </c>
      <c r="K171" t="s">
        <v>83</v>
      </c>
      <c r="L171" t="str">
        <f t="shared" si="2"/>
        <v>Saturday</v>
      </c>
    </row>
    <row r="172" spans="1:12" ht="14.25" customHeight="1" x14ac:dyDescent="0.45">
      <c r="A172" t="s">
        <v>804</v>
      </c>
      <c r="B172" s="2" t="s">
        <v>376</v>
      </c>
      <c r="C172" t="s">
        <v>89</v>
      </c>
      <c r="D172" t="s">
        <v>472</v>
      </c>
      <c r="E172" t="s">
        <v>497</v>
      </c>
      <c r="F172" t="s">
        <v>117</v>
      </c>
      <c r="G172">
        <v>1</v>
      </c>
      <c r="H172" s="3">
        <v>3120</v>
      </c>
      <c r="I172" s="3">
        <v>3120</v>
      </c>
      <c r="J172" t="s">
        <v>76</v>
      </c>
      <c r="K172" t="s">
        <v>83</v>
      </c>
      <c r="L172" t="str">
        <f t="shared" si="2"/>
        <v>Friday</v>
      </c>
    </row>
    <row r="173" spans="1:12" ht="14.25" customHeight="1" x14ac:dyDescent="0.45">
      <c r="A173" t="s">
        <v>947</v>
      </c>
      <c r="B173" s="2" t="s">
        <v>156</v>
      </c>
      <c r="C173" t="s">
        <v>100</v>
      </c>
      <c r="D173" t="s">
        <v>398</v>
      </c>
      <c r="E173" t="s">
        <v>448</v>
      </c>
      <c r="F173" t="s">
        <v>97</v>
      </c>
      <c r="G173">
        <v>1</v>
      </c>
      <c r="H173" s="3">
        <v>2270</v>
      </c>
      <c r="I173" s="3">
        <v>2270</v>
      </c>
      <c r="J173" t="s">
        <v>76</v>
      </c>
      <c r="K173" t="s">
        <v>83</v>
      </c>
      <c r="L173" t="str">
        <f t="shared" si="2"/>
        <v>Monday</v>
      </c>
    </row>
    <row r="174" spans="1:12" ht="14.25" customHeight="1" x14ac:dyDescent="0.45">
      <c r="A174" t="s">
        <v>856</v>
      </c>
      <c r="B174" s="2" t="s">
        <v>607</v>
      </c>
      <c r="C174" t="s">
        <v>80</v>
      </c>
      <c r="D174" t="s">
        <v>73</v>
      </c>
      <c r="E174" t="s">
        <v>441</v>
      </c>
      <c r="F174" t="s">
        <v>123</v>
      </c>
      <c r="G174">
        <v>1</v>
      </c>
      <c r="H174" s="3">
        <v>2780</v>
      </c>
      <c r="I174" s="3">
        <v>2780</v>
      </c>
      <c r="J174" t="s">
        <v>82</v>
      </c>
      <c r="K174" t="s">
        <v>77</v>
      </c>
      <c r="L174" t="str">
        <f t="shared" si="2"/>
        <v>Saturday</v>
      </c>
    </row>
    <row r="175" spans="1:12" ht="14.25" customHeight="1" x14ac:dyDescent="0.45">
      <c r="A175" t="s">
        <v>579</v>
      </c>
      <c r="B175" s="2" t="s">
        <v>95</v>
      </c>
      <c r="C175" t="s">
        <v>100</v>
      </c>
      <c r="D175" t="s">
        <v>398</v>
      </c>
      <c r="E175" t="s">
        <v>448</v>
      </c>
      <c r="F175" t="s">
        <v>131</v>
      </c>
      <c r="G175">
        <v>2</v>
      </c>
      <c r="H175" s="3">
        <v>2280</v>
      </c>
      <c r="I175" s="3">
        <v>4560</v>
      </c>
      <c r="J175" t="s">
        <v>82</v>
      </c>
      <c r="K175" t="s">
        <v>83</v>
      </c>
      <c r="L175" t="str">
        <f t="shared" si="2"/>
        <v>Tuesday</v>
      </c>
    </row>
    <row r="176" spans="1:12" ht="14.25" customHeight="1" x14ac:dyDescent="0.45">
      <c r="A176" t="s">
        <v>626</v>
      </c>
      <c r="B176" s="2" t="s">
        <v>627</v>
      </c>
      <c r="C176" t="s">
        <v>100</v>
      </c>
      <c r="D176" t="s">
        <v>398</v>
      </c>
      <c r="E176" t="s">
        <v>448</v>
      </c>
      <c r="F176" t="s">
        <v>123</v>
      </c>
      <c r="G176">
        <v>2</v>
      </c>
      <c r="H176" s="3">
        <v>2150</v>
      </c>
      <c r="I176" s="3">
        <v>4300</v>
      </c>
      <c r="J176" t="s">
        <v>82</v>
      </c>
      <c r="K176" t="s">
        <v>83</v>
      </c>
      <c r="L176" t="str">
        <f t="shared" si="2"/>
        <v>Friday</v>
      </c>
    </row>
    <row r="177" spans="1:12" ht="14.25" customHeight="1" x14ac:dyDescent="0.45">
      <c r="A177" t="s">
        <v>1043</v>
      </c>
      <c r="B177" s="2" t="s">
        <v>817</v>
      </c>
      <c r="C177" t="s">
        <v>96</v>
      </c>
      <c r="D177" t="s">
        <v>398</v>
      </c>
      <c r="E177" t="s">
        <v>475</v>
      </c>
      <c r="F177" t="s">
        <v>107</v>
      </c>
      <c r="G177">
        <v>1</v>
      </c>
      <c r="H177" s="3">
        <v>1870</v>
      </c>
      <c r="I177" s="3">
        <v>1870</v>
      </c>
      <c r="J177" t="s">
        <v>76</v>
      </c>
      <c r="K177" t="s">
        <v>83</v>
      </c>
      <c r="L177" t="str">
        <f t="shared" si="2"/>
        <v>Saturday</v>
      </c>
    </row>
    <row r="178" spans="1:12" ht="14.25" customHeight="1" x14ac:dyDescent="0.45">
      <c r="A178" t="s">
        <v>1101</v>
      </c>
      <c r="B178" s="2" t="s">
        <v>181</v>
      </c>
      <c r="C178" t="s">
        <v>72</v>
      </c>
      <c r="D178" t="s">
        <v>472</v>
      </c>
      <c r="E178" t="s">
        <v>500</v>
      </c>
      <c r="F178" t="s">
        <v>107</v>
      </c>
      <c r="G178">
        <v>1</v>
      </c>
      <c r="H178" s="3">
        <v>1640</v>
      </c>
      <c r="I178" s="3">
        <v>1640</v>
      </c>
      <c r="J178" t="s">
        <v>82</v>
      </c>
      <c r="K178" t="s">
        <v>77</v>
      </c>
      <c r="L178" t="str">
        <f t="shared" si="2"/>
        <v>Thursday</v>
      </c>
    </row>
    <row r="179" spans="1:12" ht="14.25" customHeight="1" x14ac:dyDescent="0.45">
      <c r="A179" t="s">
        <v>409</v>
      </c>
      <c r="B179" s="2" t="s">
        <v>291</v>
      </c>
      <c r="C179" t="s">
        <v>89</v>
      </c>
      <c r="D179" t="s">
        <v>73</v>
      </c>
      <c r="E179" t="s">
        <v>211</v>
      </c>
      <c r="F179" t="s">
        <v>97</v>
      </c>
      <c r="G179">
        <v>1</v>
      </c>
      <c r="H179" s="3">
        <v>12250</v>
      </c>
      <c r="I179" s="3">
        <v>12250</v>
      </c>
      <c r="J179" t="s">
        <v>76</v>
      </c>
      <c r="K179" t="s">
        <v>93</v>
      </c>
      <c r="L179" t="str">
        <f t="shared" si="2"/>
        <v>Wednesday</v>
      </c>
    </row>
    <row r="180" spans="1:12" ht="14.25" customHeight="1" x14ac:dyDescent="0.45">
      <c r="A180" t="s">
        <v>612</v>
      </c>
      <c r="B180" s="2" t="s">
        <v>119</v>
      </c>
      <c r="C180" t="s">
        <v>100</v>
      </c>
      <c r="D180" t="s">
        <v>398</v>
      </c>
      <c r="E180" t="s">
        <v>462</v>
      </c>
      <c r="F180" t="s">
        <v>90</v>
      </c>
      <c r="G180">
        <v>2</v>
      </c>
      <c r="H180" s="3">
        <v>2180</v>
      </c>
      <c r="I180" s="3">
        <v>4360</v>
      </c>
      <c r="J180" t="s">
        <v>76</v>
      </c>
      <c r="K180" t="s">
        <v>83</v>
      </c>
      <c r="L180" t="str">
        <f t="shared" si="2"/>
        <v>Tuesday</v>
      </c>
    </row>
    <row r="181" spans="1:12" ht="14.25" customHeight="1" x14ac:dyDescent="0.45">
      <c r="A181" t="s">
        <v>805</v>
      </c>
      <c r="B181" s="2" t="s">
        <v>242</v>
      </c>
      <c r="C181" t="s">
        <v>100</v>
      </c>
      <c r="D181" t="s">
        <v>398</v>
      </c>
      <c r="E181" t="s">
        <v>399</v>
      </c>
      <c r="F181" t="s">
        <v>131</v>
      </c>
      <c r="G181">
        <v>1</v>
      </c>
      <c r="H181" s="3">
        <v>3120</v>
      </c>
      <c r="I181" s="3">
        <v>3120</v>
      </c>
      <c r="J181" t="s">
        <v>82</v>
      </c>
      <c r="K181" t="s">
        <v>93</v>
      </c>
      <c r="L181" t="str">
        <f t="shared" si="2"/>
        <v>Tuesday</v>
      </c>
    </row>
    <row r="182" spans="1:12" ht="14.25" customHeight="1" x14ac:dyDescent="0.45">
      <c r="A182" t="s">
        <v>1238</v>
      </c>
      <c r="B182" s="2" t="s">
        <v>175</v>
      </c>
      <c r="C182" t="s">
        <v>72</v>
      </c>
      <c r="D182" t="s">
        <v>472</v>
      </c>
      <c r="E182" t="s">
        <v>691</v>
      </c>
      <c r="F182" t="s">
        <v>86</v>
      </c>
      <c r="G182">
        <v>1</v>
      </c>
      <c r="H182" s="3">
        <v>960</v>
      </c>
      <c r="I182" s="3">
        <v>960</v>
      </c>
      <c r="J182" t="s">
        <v>82</v>
      </c>
      <c r="K182" t="s">
        <v>83</v>
      </c>
      <c r="L182" t="str">
        <f t="shared" si="2"/>
        <v>Saturday</v>
      </c>
    </row>
    <row r="183" spans="1:12" ht="14.25" customHeight="1" x14ac:dyDescent="0.45">
      <c r="A183" t="s">
        <v>873</v>
      </c>
      <c r="B183" s="2" t="s">
        <v>337</v>
      </c>
      <c r="C183" t="s">
        <v>96</v>
      </c>
      <c r="D183" t="s">
        <v>398</v>
      </c>
      <c r="E183" t="s">
        <v>464</v>
      </c>
      <c r="F183" t="s">
        <v>107</v>
      </c>
      <c r="G183">
        <v>1</v>
      </c>
      <c r="H183" s="3">
        <v>2630</v>
      </c>
      <c r="I183" s="3">
        <v>2630</v>
      </c>
      <c r="J183" t="s">
        <v>82</v>
      </c>
      <c r="K183" t="s">
        <v>77</v>
      </c>
      <c r="L183" t="str">
        <f t="shared" si="2"/>
        <v>Monday</v>
      </c>
    </row>
    <row r="184" spans="1:12" ht="14.25" customHeight="1" x14ac:dyDescent="0.45">
      <c r="A184" t="s">
        <v>722</v>
      </c>
      <c r="B184" s="2" t="s">
        <v>416</v>
      </c>
      <c r="C184" t="s">
        <v>96</v>
      </c>
      <c r="D184" t="s">
        <v>73</v>
      </c>
      <c r="E184" t="s">
        <v>443</v>
      </c>
      <c r="F184" t="s">
        <v>117</v>
      </c>
      <c r="G184">
        <v>1</v>
      </c>
      <c r="H184" s="3">
        <v>3580</v>
      </c>
      <c r="I184" s="3">
        <v>3580</v>
      </c>
      <c r="J184" t="s">
        <v>82</v>
      </c>
      <c r="K184" t="s">
        <v>77</v>
      </c>
      <c r="L184" t="str">
        <f t="shared" si="2"/>
        <v>Tuesday</v>
      </c>
    </row>
    <row r="185" spans="1:12" ht="14.25" customHeight="1" x14ac:dyDescent="0.45">
      <c r="A185" t="s">
        <v>732</v>
      </c>
      <c r="B185" s="2" t="s">
        <v>216</v>
      </c>
      <c r="C185" t="s">
        <v>96</v>
      </c>
      <c r="D185" t="s">
        <v>73</v>
      </c>
      <c r="E185" t="s">
        <v>443</v>
      </c>
      <c r="F185" t="s">
        <v>107</v>
      </c>
      <c r="G185">
        <v>1</v>
      </c>
      <c r="H185" s="3">
        <v>3500</v>
      </c>
      <c r="I185" s="3">
        <v>3500</v>
      </c>
      <c r="J185" t="s">
        <v>82</v>
      </c>
      <c r="K185" t="s">
        <v>83</v>
      </c>
      <c r="L185" t="str">
        <f t="shared" si="2"/>
        <v>Sunday</v>
      </c>
    </row>
    <row r="186" spans="1:12" ht="14.25" customHeight="1" x14ac:dyDescent="0.45">
      <c r="A186" t="s">
        <v>1176</v>
      </c>
      <c r="B186" s="2" t="s">
        <v>791</v>
      </c>
      <c r="C186" t="s">
        <v>96</v>
      </c>
      <c r="D186" t="s">
        <v>472</v>
      </c>
      <c r="E186" t="s">
        <v>557</v>
      </c>
      <c r="F186" t="s">
        <v>81</v>
      </c>
      <c r="G186">
        <v>1</v>
      </c>
      <c r="H186" s="3">
        <v>1230</v>
      </c>
      <c r="I186" s="3">
        <v>1230</v>
      </c>
      <c r="J186" t="s">
        <v>82</v>
      </c>
      <c r="K186" t="s">
        <v>83</v>
      </c>
      <c r="L186" t="str">
        <f t="shared" si="2"/>
        <v>Friday</v>
      </c>
    </row>
    <row r="187" spans="1:12" ht="14.25" customHeight="1" x14ac:dyDescent="0.45">
      <c r="A187" t="s">
        <v>1132</v>
      </c>
      <c r="B187" s="2" t="s">
        <v>276</v>
      </c>
      <c r="C187" t="s">
        <v>89</v>
      </c>
      <c r="D187" t="s">
        <v>472</v>
      </c>
      <c r="E187" t="s">
        <v>500</v>
      </c>
      <c r="F187" t="s">
        <v>123</v>
      </c>
      <c r="G187">
        <v>1</v>
      </c>
      <c r="H187" s="3">
        <v>1550</v>
      </c>
      <c r="I187" s="3">
        <v>1550</v>
      </c>
      <c r="J187" t="s">
        <v>76</v>
      </c>
      <c r="K187" t="s">
        <v>83</v>
      </c>
      <c r="L187" t="str">
        <f t="shared" si="2"/>
        <v>Friday</v>
      </c>
    </row>
    <row r="188" spans="1:12" ht="14.25" customHeight="1" x14ac:dyDescent="0.45">
      <c r="A188" t="s">
        <v>1184</v>
      </c>
      <c r="B188" s="2" t="s">
        <v>522</v>
      </c>
      <c r="C188" t="s">
        <v>96</v>
      </c>
      <c r="D188" t="s">
        <v>472</v>
      </c>
      <c r="E188" t="s">
        <v>557</v>
      </c>
      <c r="F188" t="s">
        <v>90</v>
      </c>
      <c r="G188">
        <v>1</v>
      </c>
      <c r="H188" s="3">
        <v>1220</v>
      </c>
      <c r="I188" s="3">
        <v>1220</v>
      </c>
      <c r="J188" t="s">
        <v>76</v>
      </c>
      <c r="K188" t="s">
        <v>77</v>
      </c>
      <c r="L188" t="str">
        <f t="shared" si="2"/>
        <v>Thursday</v>
      </c>
    </row>
    <row r="189" spans="1:12" ht="14.25" customHeight="1" x14ac:dyDescent="0.45">
      <c r="A189" t="s">
        <v>788</v>
      </c>
      <c r="B189" s="2" t="s">
        <v>119</v>
      </c>
      <c r="C189" t="s">
        <v>89</v>
      </c>
      <c r="D189" t="s">
        <v>398</v>
      </c>
      <c r="E189" t="s">
        <v>399</v>
      </c>
      <c r="F189" t="s">
        <v>117</v>
      </c>
      <c r="G189">
        <v>1</v>
      </c>
      <c r="H189" s="3">
        <v>3150</v>
      </c>
      <c r="I189" s="3">
        <v>3150</v>
      </c>
      <c r="J189" t="s">
        <v>76</v>
      </c>
      <c r="K189" t="s">
        <v>83</v>
      </c>
      <c r="L189" t="str">
        <f t="shared" si="2"/>
        <v>Tuesday</v>
      </c>
    </row>
    <row r="190" spans="1:12" ht="14.25" customHeight="1" x14ac:dyDescent="0.45">
      <c r="A190" t="s">
        <v>1095</v>
      </c>
      <c r="B190" s="2" t="s">
        <v>173</v>
      </c>
      <c r="C190" t="s">
        <v>89</v>
      </c>
      <c r="D190" t="s">
        <v>398</v>
      </c>
      <c r="E190" t="s">
        <v>475</v>
      </c>
      <c r="F190" t="s">
        <v>90</v>
      </c>
      <c r="G190">
        <v>1</v>
      </c>
      <c r="H190" s="3">
        <v>1730</v>
      </c>
      <c r="I190" s="3">
        <v>1730</v>
      </c>
      <c r="J190" t="s">
        <v>82</v>
      </c>
      <c r="K190" t="s">
        <v>83</v>
      </c>
      <c r="L190" t="str">
        <f t="shared" si="2"/>
        <v>Tuesday</v>
      </c>
    </row>
    <row r="191" spans="1:12" ht="14.25" customHeight="1" x14ac:dyDescent="0.45">
      <c r="A191" t="s">
        <v>1172</v>
      </c>
      <c r="B191" s="2" t="s">
        <v>111</v>
      </c>
      <c r="C191" t="s">
        <v>80</v>
      </c>
      <c r="D191" t="s">
        <v>472</v>
      </c>
      <c r="E191" t="s">
        <v>557</v>
      </c>
      <c r="F191" t="s">
        <v>131</v>
      </c>
      <c r="G191">
        <v>1</v>
      </c>
      <c r="H191" s="3">
        <v>1240</v>
      </c>
      <c r="I191" s="3">
        <v>1240</v>
      </c>
      <c r="J191" t="s">
        <v>76</v>
      </c>
      <c r="K191" t="s">
        <v>77</v>
      </c>
      <c r="L191" t="str">
        <f t="shared" si="2"/>
        <v>Monday</v>
      </c>
    </row>
    <row r="192" spans="1:12" ht="14.25" customHeight="1" x14ac:dyDescent="0.45">
      <c r="A192" t="s">
        <v>596</v>
      </c>
      <c r="B192" s="2" t="s">
        <v>597</v>
      </c>
      <c r="C192" t="s">
        <v>96</v>
      </c>
      <c r="D192" t="s">
        <v>196</v>
      </c>
      <c r="E192" t="s">
        <v>300</v>
      </c>
      <c r="F192" t="s">
        <v>131</v>
      </c>
      <c r="G192">
        <v>1</v>
      </c>
      <c r="H192" s="3">
        <v>4450</v>
      </c>
      <c r="I192" s="3">
        <v>4450</v>
      </c>
      <c r="J192" t="s">
        <v>82</v>
      </c>
      <c r="K192" t="s">
        <v>93</v>
      </c>
      <c r="L192" t="str">
        <f t="shared" si="2"/>
        <v>Tuesday</v>
      </c>
    </row>
    <row r="193" spans="1:12" ht="14.25" customHeight="1" x14ac:dyDescent="0.45">
      <c r="A193" t="s">
        <v>819</v>
      </c>
      <c r="B193" s="2" t="s">
        <v>225</v>
      </c>
      <c r="C193" t="s">
        <v>96</v>
      </c>
      <c r="D193" t="s">
        <v>472</v>
      </c>
      <c r="E193" t="s">
        <v>497</v>
      </c>
      <c r="F193" t="s">
        <v>123</v>
      </c>
      <c r="G193">
        <v>1</v>
      </c>
      <c r="H193" s="3">
        <v>3080</v>
      </c>
      <c r="I193" s="3">
        <v>3080</v>
      </c>
      <c r="J193" t="s">
        <v>76</v>
      </c>
      <c r="K193" t="s">
        <v>83</v>
      </c>
      <c r="L193" t="str">
        <f t="shared" si="2"/>
        <v>Sunday</v>
      </c>
    </row>
    <row r="194" spans="1:12" ht="14.25" customHeight="1" x14ac:dyDescent="0.45">
      <c r="A194" t="s">
        <v>195</v>
      </c>
      <c r="B194" s="2" t="s">
        <v>181</v>
      </c>
      <c r="C194" t="s">
        <v>89</v>
      </c>
      <c r="D194" t="s">
        <v>196</v>
      </c>
      <c r="E194" t="s">
        <v>197</v>
      </c>
      <c r="F194" t="s">
        <v>86</v>
      </c>
      <c r="G194">
        <v>3</v>
      </c>
      <c r="H194" s="3">
        <v>18350</v>
      </c>
      <c r="I194" s="3">
        <v>55050</v>
      </c>
      <c r="J194" t="s">
        <v>76</v>
      </c>
      <c r="K194" t="s">
        <v>83</v>
      </c>
      <c r="L194" t="str">
        <f t="shared" ref="L194:L257" si="3">TEXT(B194,"dddd")</f>
        <v>Thursday</v>
      </c>
    </row>
    <row r="195" spans="1:12" ht="14.25" customHeight="1" x14ac:dyDescent="0.45">
      <c r="A195" t="s">
        <v>639</v>
      </c>
      <c r="B195" s="2" t="s">
        <v>436</v>
      </c>
      <c r="C195" t="s">
        <v>96</v>
      </c>
      <c r="D195" t="s">
        <v>334</v>
      </c>
      <c r="E195" t="s">
        <v>402</v>
      </c>
      <c r="F195" t="s">
        <v>140</v>
      </c>
      <c r="G195">
        <v>1</v>
      </c>
      <c r="H195" s="3">
        <v>4250</v>
      </c>
      <c r="I195" s="3">
        <v>4250</v>
      </c>
      <c r="J195" t="s">
        <v>82</v>
      </c>
      <c r="K195" t="s">
        <v>77</v>
      </c>
      <c r="L195" t="str">
        <f t="shared" si="3"/>
        <v>Saturday</v>
      </c>
    </row>
    <row r="196" spans="1:12" ht="14.25" customHeight="1" x14ac:dyDescent="0.45">
      <c r="A196" t="s">
        <v>1142</v>
      </c>
      <c r="B196" s="2" t="s">
        <v>562</v>
      </c>
      <c r="C196" t="s">
        <v>96</v>
      </c>
      <c r="D196" t="s">
        <v>334</v>
      </c>
      <c r="E196" t="s">
        <v>515</v>
      </c>
      <c r="F196" t="s">
        <v>107</v>
      </c>
      <c r="G196">
        <v>1</v>
      </c>
      <c r="H196" s="3">
        <v>1530</v>
      </c>
      <c r="I196" s="3">
        <v>1530</v>
      </c>
      <c r="J196" t="s">
        <v>82</v>
      </c>
      <c r="K196" t="s">
        <v>83</v>
      </c>
      <c r="L196" t="str">
        <f t="shared" si="3"/>
        <v>Saturday</v>
      </c>
    </row>
    <row r="197" spans="1:12" ht="14.25" customHeight="1" x14ac:dyDescent="0.45">
      <c r="A197" t="s">
        <v>1185</v>
      </c>
      <c r="B197" s="2" t="s">
        <v>591</v>
      </c>
      <c r="C197" t="s">
        <v>96</v>
      </c>
      <c r="D197" t="s">
        <v>472</v>
      </c>
      <c r="E197" t="s">
        <v>557</v>
      </c>
      <c r="F197" t="s">
        <v>75</v>
      </c>
      <c r="G197">
        <v>1</v>
      </c>
      <c r="H197" s="3">
        <v>1220</v>
      </c>
      <c r="I197" s="3">
        <v>1220</v>
      </c>
      <c r="J197" t="s">
        <v>76</v>
      </c>
      <c r="K197" t="s">
        <v>83</v>
      </c>
      <c r="L197" t="str">
        <f t="shared" si="3"/>
        <v>Tuesday</v>
      </c>
    </row>
    <row r="198" spans="1:12" ht="14.25" customHeight="1" x14ac:dyDescent="0.45">
      <c r="A198" t="s">
        <v>951</v>
      </c>
      <c r="B198" s="2" t="s">
        <v>467</v>
      </c>
      <c r="C198" t="s">
        <v>100</v>
      </c>
      <c r="D198" t="s">
        <v>398</v>
      </c>
      <c r="E198" t="s">
        <v>448</v>
      </c>
      <c r="F198" t="s">
        <v>117</v>
      </c>
      <c r="G198">
        <v>1</v>
      </c>
      <c r="H198" s="3">
        <v>2260</v>
      </c>
      <c r="I198" s="3">
        <v>2260</v>
      </c>
      <c r="J198" t="s">
        <v>76</v>
      </c>
      <c r="K198" t="s">
        <v>93</v>
      </c>
      <c r="L198" t="str">
        <f t="shared" si="3"/>
        <v>Thursday</v>
      </c>
    </row>
    <row r="199" spans="1:12" ht="14.25" customHeight="1" x14ac:dyDescent="0.45">
      <c r="A199" t="s">
        <v>1044</v>
      </c>
      <c r="B199" s="2" t="s">
        <v>585</v>
      </c>
      <c r="C199" t="s">
        <v>96</v>
      </c>
      <c r="D199" t="s">
        <v>398</v>
      </c>
      <c r="E199" t="s">
        <v>475</v>
      </c>
      <c r="F199" t="s">
        <v>117</v>
      </c>
      <c r="G199">
        <v>1</v>
      </c>
      <c r="H199" s="3">
        <v>1870</v>
      </c>
      <c r="I199" s="3">
        <v>1870</v>
      </c>
      <c r="J199" t="s">
        <v>82</v>
      </c>
      <c r="K199" t="s">
        <v>83</v>
      </c>
      <c r="L199" t="str">
        <f t="shared" si="3"/>
        <v>Saturday</v>
      </c>
    </row>
    <row r="200" spans="1:12" ht="14.25" customHeight="1" x14ac:dyDescent="0.45">
      <c r="A200" t="s">
        <v>1122</v>
      </c>
      <c r="B200" s="2" t="s">
        <v>571</v>
      </c>
      <c r="C200" t="s">
        <v>96</v>
      </c>
      <c r="D200" t="s">
        <v>472</v>
      </c>
      <c r="E200" t="s">
        <v>500</v>
      </c>
      <c r="F200" t="s">
        <v>86</v>
      </c>
      <c r="G200">
        <v>1</v>
      </c>
      <c r="H200" s="3">
        <v>1580</v>
      </c>
      <c r="I200" s="3">
        <v>1580</v>
      </c>
      <c r="J200" t="s">
        <v>76</v>
      </c>
      <c r="K200" t="s">
        <v>83</v>
      </c>
      <c r="L200" t="str">
        <f t="shared" si="3"/>
        <v>Saturday</v>
      </c>
    </row>
    <row r="201" spans="1:12" ht="14.25" customHeight="1" x14ac:dyDescent="0.45">
      <c r="A201" t="s">
        <v>494</v>
      </c>
      <c r="B201" s="2" t="s">
        <v>385</v>
      </c>
      <c r="C201" t="s">
        <v>89</v>
      </c>
      <c r="D201" t="s">
        <v>398</v>
      </c>
      <c r="E201" t="s">
        <v>399</v>
      </c>
      <c r="F201" t="s">
        <v>90</v>
      </c>
      <c r="G201">
        <v>2</v>
      </c>
      <c r="H201" s="3">
        <v>3230</v>
      </c>
      <c r="I201" s="3">
        <v>6460</v>
      </c>
      <c r="J201" t="s">
        <v>82</v>
      </c>
      <c r="K201" t="s">
        <v>83</v>
      </c>
      <c r="L201" t="str">
        <f t="shared" si="3"/>
        <v>Monday</v>
      </c>
    </row>
    <row r="202" spans="1:12" ht="14.25" customHeight="1" x14ac:dyDescent="0.45">
      <c r="A202" t="s">
        <v>909</v>
      </c>
      <c r="B202" s="2" t="s">
        <v>179</v>
      </c>
      <c r="C202" t="s">
        <v>96</v>
      </c>
      <c r="D202" t="s">
        <v>472</v>
      </c>
      <c r="E202" t="s">
        <v>473</v>
      </c>
      <c r="F202" t="s">
        <v>81</v>
      </c>
      <c r="G202">
        <v>1</v>
      </c>
      <c r="H202" s="3">
        <v>2440</v>
      </c>
      <c r="I202" s="3">
        <v>2440</v>
      </c>
      <c r="J202" t="s">
        <v>76</v>
      </c>
      <c r="K202" t="s">
        <v>77</v>
      </c>
      <c r="L202" t="str">
        <f t="shared" si="3"/>
        <v>Monday</v>
      </c>
    </row>
    <row r="203" spans="1:12" ht="14.25" customHeight="1" x14ac:dyDescent="0.45">
      <c r="A203" t="s">
        <v>285</v>
      </c>
      <c r="B203" s="2" t="s">
        <v>109</v>
      </c>
      <c r="C203" t="s">
        <v>96</v>
      </c>
      <c r="D203" t="s">
        <v>196</v>
      </c>
      <c r="E203" t="s">
        <v>246</v>
      </c>
      <c r="F203" t="s">
        <v>97</v>
      </c>
      <c r="G203">
        <v>2</v>
      </c>
      <c r="H203" s="3">
        <v>12970</v>
      </c>
      <c r="I203" s="3">
        <v>25940</v>
      </c>
      <c r="J203" t="s">
        <v>76</v>
      </c>
      <c r="K203" t="s">
        <v>83</v>
      </c>
      <c r="L203" t="str">
        <f t="shared" si="3"/>
        <v>Saturday</v>
      </c>
    </row>
    <row r="204" spans="1:12" ht="14.25" customHeight="1" x14ac:dyDescent="0.45">
      <c r="A204" t="s">
        <v>450</v>
      </c>
      <c r="B204" s="2" t="s">
        <v>381</v>
      </c>
      <c r="C204" t="s">
        <v>89</v>
      </c>
      <c r="D204" t="s">
        <v>196</v>
      </c>
      <c r="E204" t="s">
        <v>300</v>
      </c>
      <c r="F204" t="s">
        <v>123</v>
      </c>
      <c r="G204">
        <v>2</v>
      </c>
      <c r="H204" s="3">
        <v>4400</v>
      </c>
      <c r="I204" s="3">
        <v>8800</v>
      </c>
      <c r="J204" t="s">
        <v>76</v>
      </c>
      <c r="K204" t="s">
        <v>83</v>
      </c>
      <c r="L204" t="str">
        <f t="shared" si="3"/>
        <v>Sunday</v>
      </c>
    </row>
    <row r="205" spans="1:12" ht="14.25" customHeight="1" x14ac:dyDescent="0.45">
      <c r="A205" t="s">
        <v>1028</v>
      </c>
      <c r="B205" s="2" t="s">
        <v>188</v>
      </c>
      <c r="C205" t="s">
        <v>100</v>
      </c>
      <c r="D205" t="s">
        <v>472</v>
      </c>
      <c r="E205" t="s">
        <v>691</v>
      </c>
      <c r="F205" t="s">
        <v>75</v>
      </c>
      <c r="G205">
        <v>2</v>
      </c>
      <c r="H205" s="3">
        <v>950</v>
      </c>
      <c r="I205" s="3">
        <v>1900</v>
      </c>
      <c r="J205" t="s">
        <v>82</v>
      </c>
      <c r="K205" t="s">
        <v>83</v>
      </c>
      <c r="L205" t="str">
        <f t="shared" si="3"/>
        <v>Saturday</v>
      </c>
    </row>
    <row r="206" spans="1:12" ht="14.25" customHeight="1" x14ac:dyDescent="0.45">
      <c r="A206" t="s">
        <v>1235</v>
      </c>
      <c r="B206" s="2" t="s">
        <v>667</v>
      </c>
      <c r="C206" t="s">
        <v>100</v>
      </c>
      <c r="D206" t="s">
        <v>472</v>
      </c>
      <c r="E206" t="s">
        <v>691</v>
      </c>
      <c r="F206" t="s">
        <v>90</v>
      </c>
      <c r="G206">
        <v>1</v>
      </c>
      <c r="H206" s="3">
        <v>970</v>
      </c>
      <c r="I206" s="3">
        <v>970</v>
      </c>
      <c r="J206" t="s">
        <v>76</v>
      </c>
      <c r="K206" t="s">
        <v>83</v>
      </c>
      <c r="L206" t="str">
        <f t="shared" si="3"/>
        <v>Sunday</v>
      </c>
    </row>
    <row r="207" spans="1:12" ht="14.25" customHeight="1" x14ac:dyDescent="0.45">
      <c r="A207" t="s">
        <v>910</v>
      </c>
      <c r="B207" s="2" t="s">
        <v>133</v>
      </c>
      <c r="C207" t="s">
        <v>72</v>
      </c>
      <c r="D207" t="s">
        <v>472</v>
      </c>
      <c r="E207" t="s">
        <v>473</v>
      </c>
      <c r="F207" t="s">
        <v>131</v>
      </c>
      <c r="G207">
        <v>1</v>
      </c>
      <c r="H207" s="3">
        <v>2440</v>
      </c>
      <c r="I207" s="3">
        <v>2440</v>
      </c>
      <c r="J207" t="s">
        <v>76</v>
      </c>
      <c r="K207" t="s">
        <v>93</v>
      </c>
      <c r="L207" t="str">
        <f t="shared" si="3"/>
        <v>Wednesday</v>
      </c>
    </row>
    <row r="208" spans="1:12" ht="14.25" customHeight="1" x14ac:dyDescent="0.45">
      <c r="A208" t="s">
        <v>1199</v>
      </c>
      <c r="B208" s="2" t="s">
        <v>693</v>
      </c>
      <c r="C208" t="s">
        <v>80</v>
      </c>
      <c r="D208" t="s">
        <v>472</v>
      </c>
      <c r="E208" t="s">
        <v>557</v>
      </c>
      <c r="F208" t="s">
        <v>117</v>
      </c>
      <c r="G208">
        <v>1</v>
      </c>
      <c r="H208" s="3">
        <v>1200</v>
      </c>
      <c r="I208" s="3">
        <v>1200</v>
      </c>
      <c r="J208" t="s">
        <v>82</v>
      </c>
      <c r="K208" t="s">
        <v>83</v>
      </c>
      <c r="L208" t="str">
        <f t="shared" si="3"/>
        <v>Friday</v>
      </c>
    </row>
    <row r="209" spans="1:12" ht="14.25" customHeight="1" x14ac:dyDescent="0.45">
      <c r="A209" t="s">
        <v>174</v>
      </c>
      <c r="B209" s="2" t="s">
        <v>175</v>
      </c>
      <c r="C209" t="s">
        <v>100</v>
      </c>
      <c r="D209" t="s">
        <v>73</v>
      </c>
      <c r="E209" t="s">
        <v>101</v>
      </c>
      <c r="F209" t="s">
        <v>140</v>
      </c>
      <c r="G209">
        <v>2</v>
      </c>
      <c r="H209" s="3">
        <v>41440</v>
      </c>
      <c r="I209" s="3">
        <v>82880</v>
      </c>
      <c r="J209" t="s">
        <v>82</v>
      </c>
      <c r="K209" t="s">
        <v>77</v>
      </c>
      <c r="L209" t="str">
        <f t="shared" si="3"/>
        <v>Saturday</v>
      </c>
    </row>
    <row r="210" spans="1:12" ht="14.25" customHeight="1" x14ac:dyDescent="0.45">
      <c r="A210" t="s">
        <v>304</v>
      </c>
      <c r="B210" s="2" t="s">
        <v>305</v>
      </c>
      <c r="C210" t="s">
        <v>100</v>
      </c>
      <c r="D210" t="s">
        <v>196</v>
      </c>
      <c r="E210" t="s">
        <v>197</v>
      </c>
      <c r="F210" t="s">
        <v>140</v>
      </c>
      <c r="G210">
        <v>1</v>
      </c>
      <c r="H210" s="3">
        <v>18570</v>
      </c>
      <c r="I210" s="3">
        <v>18570</v>
      </c>
      <c r="J210" t="s">
        <v>82</v>
      </c>
      <c r="K210" t="s">
        <v>83</v>
      </c>
      <c r="L210" t="str">
        <f t="shared" si="3"/>
        <v>Sunday</v>
      </c>
    </row>
    <row r="211" spans="1:12" ht="14.25" customHeight="1" x14ac:dyDescent="0.45">
      <c r="A211" t="s">
        <v>219</v>
      </c>
      <c r="B211" s="2" t="s">
        <v>183</v>
      </c>
      <c r="C211" t="s">
        <v>72</v>
      </c>
      <c r="D211" t="s">
        <v>73</v>
      </c>
      <c r="E211" t="s">
        <v>101</v>
      </c>
      <c r="F211" t="s">
        <v>107</v>
      </c>
      <c r="G211">
        <v>1</v>
      </c>
      <c r="H211" s="3">
        <v>43470</v>
      </c>
      <c r="I211" s="3">
        <v>43470</v>
      </c>
      <c r="J211" t="s">
        <v>76</v>
      </c>
      <c r="K211" t="s">
        <v>83</v>
      </c>
      <c r="L211" t="str">
        <f t="shared" si="3"/>
        <v>Sunday</v>
      </c>
    </row>
    <row r="212" spans="1:12" ht="14.25" customHeight="1" x14ac:dyDescent="0.45">
      <c r="A212" t="s">
        <v>753</v>
      </c>
      <c r="B212" s="2" t="s">
        <v>376</v>
      </c>
      <c r="C212" t="s">
        <v>72</v>
      </c>
      <c r="D212" t="s">
        <v>472</v>
      </c>
      <c r="E212" t="s">
        <v>500</v>
      </c>
      <c r="F212" t="s">
        <v>117</v>
      </c>
      <c r="G212">
        <v>2</v>
      </c>
      <c r="H212" s="3">
        <v>1620</v>
      </c>
      <c r="I212" s="3">
        <v>3240</v>
      </c>
      <c r="J212" t="s">
        <v>76</v>
      </c>
      <c r="K212" t="s">
        <v>83</v>
      </c>
      <c r="L212" t="str">
        <f t="shared" si="3"/>
        <v>Friday</v>
      </c>
    </row>
    <row r="213" spans="1:12" ht="14.25" customHeight="1" x14ac:dyDescent="0.45">
      <c r="A213" t="s">
        <v>621</v>
      </c>
      <c r="B213" s="2" t="s">
        <v>142</v>
      </c>
      <c r="C213" t="s">
        <v>89</v>
      </c>
      <c r="D213" t="s">
        <v>334</v>
      </c>
      <c r="E213" t="s">
        <v>402</v>
      </c>
      <c r="F213" t="s">
        <v>131</v>
      </c>
      <c r="G213">
        <v>1</v>
      </c>
      <c r="H213" s="3">
        <v>4330</v>
      </c>
      <c r="I213" s="3">
        <v>4330</v>
      </c>
      <c r="J213" t="s">
        <v>82</v>
      </c>
      <c r="K213" t="s">
        <v>93</v>
      </c>
      <c r="L213" t="str">
        <f t="shared" si="3"/>
        <v>Friday</v>
      </c>
    </row>
    <row r="214" spans="1:12" ht="14.25" customHeight="1" x14ac:dyDescent="0.45">
      <c r="A214" t="s">
        <v>1112</v>
      </c>
      <c r="B214" s="2" t="s">
        <v>791</v>
      </c>
      <c r="C214" t="s">
        <v>80</v>
      </c>
      <c r="D214" t="s">
        <v>472</v>
      </c>
      <c r="E214" t="s">
        <v>500</v>
      </c>
      <c r="F214" t="s">
        <v>123</v>
      </c>
      <c r="G214">
        <v>1</v>
      </c>
      <c r="H214" s="3">
        <v>1610</v>
      </c>
      <c r="I214" s="3">
        <v>1610</v>
      </c>
      <c r="J214" t="s">
        <v>82</v>
      </c>
      <c r="K214" t="s">
        <v>77</v>
      </c>
      <c r="L214" t="str">
        <f t="shared" si="3"/>
        <v>Friday</v>
      </c>
    </row>
    <row r="215" spans="1:12" ht="14.25" customHeight="1" x14ac:dyDescent="0.45">
      <c r="A215" t="s">
        <v>405</v>
      </c>
      <c r="B215" s="2" t="s">
        <v>231</v>
      </c>
      <c r="C215" t="s">
        <v>100</v>
      </c>
      <c r="D215" t="s">
        <v>398</v>
      </c>
      <c r="E215" t="s">
        <v>399</v>
      </c>
      <c r="F215" t="s">
        <v>140</v>
      </c>
      <c r="G215">
        <v>4</v>
      </c>
      <c r="H215" s="3">
        <v>3080</v>
      </c>
      <c r="I215" s="3">
        <v>12320</v>
      </c>
      <c r="J215" t="s">
        <v>76</v>
      </c>
      <c r="K215" t="s">
        <v>83</v>
      </c>
      <c r="L215" t="str">
        <f t="shared" si="3"/>
        <v>Wednesday</v>
      </c>
    </row>
    <row r="216" spans="1:12" ht="14.25" customHeight="1" x14ac:dyDescent="0.45">
      <c r="A216" t="s">
        <v>1016</v>
      </c>
      <c r="B216" s="2" t="s">
        <v>164</v>
      </c>
      <c r="C216" t="s">
        <v>96</v>
      </c>
      <c r="D216" t="s">
        <v>334</v>
      </c>
      <c r="E216" t="s">
        <v>527</v>
      </c>
      <c r="F216" t="s">
        <v>131</v>
      </c>
      <c r="G216">
        <v>1</v>
      </c>
      <c r="H216" s="3">
        <v>1950</v>
      </c>
      <c r="I216" s="3">
        <v>1950</v>
      </c>
      <c r="J216" t="s">
        <v>76</v>
      </c>
      <c r="K216" t="s">
        <v>77</v>
      </c>
      <c r="L216" t="str">
        <f t="shared" si="3"/>
        <v>Friday</v>
      </c>
    </row>
    <row r="217" spans="1:12" ht="14.25" customHeight="1" x14ac:dyDescent="0.45">
      <c r="A217" t="s">
        <v>327</v>
      </c>
      <c r="B217" s="2" t="s">
        <v>148</v>
      </c>
      <c r="C217" t="s">
        <v>96</v>
      </c>
      <c r="D217" t="s">
        <v>196</v>
      </c>
      <c r="E217" t="s">
        <v>214</v>
      </c>
      <c r="F217" t="s">
        <v>140</v>
      </c>
      <c r="G217">
        <v>1</v>
      </c>
      <c r="H217" s="3">
        <v>15820</v>
      </c>
      <c r="I217" s="3">
        <v>15820</v>
      </c>
      <c r="J217" t="s">
        <v>76</v>
      </c>
      <c r="K217" t="s">
        <v>83</v>
      </c>
      <c r="L217" t="str">
        <f t="shared" si="3"/>
        <v>Sunday</v>
      </c>
    </row>
    <row r="218" spans="1:12" ht="14.25" customHeight="1" x14ac:dyDescent="0.45">
      <c r="A218" t="s">
        <v>675</v>
      </c>
      <c r="B218" s="2" t="s">
        <v>513</v>
      </c>
      <c r="C218" t="s">
        <v>80</v>
      </c>
      <c r="D218" t="s">
        <v>334</v>
      </c>
      <c r="E218" t="s">
        <v>527</v>
      </c>
      <c r="F218" t="s">
        <v>117</v>
      </c>
      <c r="G218">
        <v>2</v>
      </c>
      <c r="H218" s="3">
        <v>1970</v>
      </c>
      <c r="I218" s="3">
        <v>3940</v>
      </c>
      <c r="J218" t="s">
        <v>76</v>
      </c>
      <c r="K218" t="s">
        <v>77</v>
      </c>
      <c r="L218" t="str">
        <f t="shared" si="3"/>
        <v>Friday</v>
      </c>
    </row>
    <row r="219" spans="1:12" ht="14.25" customHeight="1" x14ac:dyDescent="0.45">
      <c r="A219" t="s">
        <v>1066</v>
      </c>
      <c r="B219" s="2" t="s">
        <v>133</v>
      </c>
      <c r="C219" t="s">
        <v>89</v>
      </c>
      <c r="D219" t="s">
        <v>472</v>
      </c>
      <c r="E219" t="s">
        <v>691</v>
      </c>
      <c r="F219" t="s">
        <v>97</v>
      </c>
      <c r="G219">
        <v>2</v>
      </c>
      <c r="H219" s="3">
        <v>910</v>
      </c>
      <c r="I219" s="3">
        <v>1820</v>
      </c>
      <c r="J219" t="s">
        <v>82</v>
      </c>
      <c r="K219" t="s">
        <v>83</v>
      </c>
      <c r="L219" t="str">
        <f t="shared" si="3"/>
        <v>Wednesday</v>
      </c>
    </row>
    <row r="220" spans="1:12" ht="14.25" customHeight="1" x14ac:dyDescent="0.45">
      <c r="A220" t="s">
        <v>1210</v>
      </c>
      <c r="B220" s="2" t="s">
        <v>208</v>
      </c>
      <c r="C220" t="s">
        <v>89</v>
      </c>
      <c r="D220" t="s">
        <v>472</v>
      </c>
      <c r="E220" t="s">
        <v>557</v>
      </c>
      <c r="F220" t="s">
        <v>107</v>
      </c>
      <c r="G220">
        <v>1</v>
      </c>
      <c r="H220" s="3">
        <v>1170</v>
      </c>
      <c r="I220" s="3">
        <v>1170</v>
      </c>
      <c r="J220" t="s">
        <v>76</v>
      </c>
      <c r="K220" t="s">
        <v>83</v>
      </c>
      <c r="L220" t="str">
        <f t="shared" si="3"/>
        <v>Wednesday</v>
      </c>
    </row>
    <row r="221" spans="1:12" ht="14.25" customHeight="1" x14ac:dyDescent="0.45">
      <c r="A221" t="s">
        <v>102</v>
      </c>
      <c r="B221" s="2" t="s">
        <v>103</v>
      </c>
      <c r="C221" t="s">
        <v>72</v>
      </c>
      <c r="D221" t="s">
        <v>73</v>
      </c>
      <c r="E221" t="s">
        <v>104</v>
      </c>
      <c r="F221" t="s">
        <v>86</v>
      </c>
      <c r="G221">
        <v>3</v>
      </c>
      <c r="H221" s="3">
        <v>56730</v>
      </c>
      <c r="I221" s="3">
        <v>170190</v>
      </c>
      <c r="J221" t="s">
        <v>76</v>
      </c>
      <c r="K221" t="s">
        <v>93</v>
      </c>
      <c r="L221" t="str">
        <f t="shared" si="3"/>
        <v>Thursday</v>
      </c>
    </row>
    <row r="222" spans="1:12" ht="14.25" customHeight="1" x14ac:dyDescent="0.45">
      <c r="A222" t="s">
        <v>1027</v>
      </c>
      <c r="B222" s="2" t="s">
        <v>569</v>
      </c>
      <c r="C222" t="s">
        <v>89</v>
      </c>
      <c r="D222" t="s">
        <v>334</v>
      </c>
      <c r="E222" t="s">
        <v>527</v>
      </c>
      <c r="F222" t="s">
        <v>81</v>
      </c>
      <c r="G222">
        <v>1</v>
      </c>
      <c r="H222" s="3">
        <v>1910</v>
      </c>
      <c r="I222" s="3">
        <v>1910</v>
      </c>
      <c r="J222" t="s">
        <v>82</v>
      </c>
      <c r="K222" t="s">
        <v>83</v>
      </c>
      <c r="L222" t="str">
        <f t="shared" si="3"/>
        <v>Tuesday</v>
      </c>
    </row>
    <row r="223" spans="1:12" ht="14.25" customHeight="1" x14ac:dyDescent="0.45">
      <c r="A223" t="s">
        <v>967</v>
      </c>
      <c r="B223" s="2" t="s">
        <v>202</v>
      </c>
      <c r="C223" t="s">
        <v>96</v>
      </c>
      <c r="D223" t="s">
        <v>398</v>
      </c>
      <c r="E223" t="s">
        <v>448</v>
      </c>
      <c r="F223" t="s">
        <v>97</v>
      </c>
      <c r="G223">
        <v>1</v>
      </c>
      <c r="H223" s="3">
        <v>2190</v>
      </c>
      <c r="I223" s="3">
        <v>2190</v>
      </c>
      <c r="J223" t="s">
        <v>82</v>
      </c>
      <c r="K223" t="s">
        <v>83</v>
      </c>
      <c r="L223" t="str">
        <f t="shared" si="3"/>
        <v>Sunday</v>
      </c>
    </row>
    <row r="224" spans="1:12" ht="14.25" customHeight="1" x14ac:dyDescent="0.45">
      <c r="A224" t="s">
        <v>789</v>
      </c>
      <c r="B224" s="2" t="s">
        <v>352</v>
      </c>
      <c r="C224" t="s">
        <v>96</v>
      </c>
      <c r="D224" t="s">
        <v>398</v>
      </c>
      <c r="E224" t="s">
        <v>399</v>
      </c>
      <c r="F224" t="s">
        <v>81</v>
      </c>
      <c r="G224">
        <v>1</v>
      </c>
      <c r="H224" s="3">
        <v>3150</v>
      </c>
      <c r="I224" s="3">
        <v>3150</v>
      </c>
      <c r="J224" t="s">
        <v>76</v>
      </c>
      <c r="K224" t="s">
        <v>83</v>
      </c>
      <c r="L224" t="str">
        <f t="shared" si="3"/>
        <v>Saturday</v>
      </c>
    </row>
    <row r="225" spans="1:12" ht="14.25" customHeight="1" x14ac:dyDescent="0.45">
      <c r="A225" t="s">
        <v>247</v>
      </c>
      <c r="B225" s="2" t="s">
        <v>125</v>
      </c>
      <c r="C225" t="s">
        <v>96</v>
      </c>
      <c r="D225" t="s">
        <v>196</v>
      </c>
      <c r="E225" t="s">
        <v>197</v>
      </c>
      <c r="F225" t="s">
        <v>86</v>
      </c>
      <c r="G225">
        <v>2</v>
      </c>
      <c r="H225" s="3">
        <v>18980</v>
      </c>
      <c r="I225" s="3">
        <v>37960</v>
      </c>
      <c r="J225" t="s">
        <v>76</v>
      </c>
      <c r="K225" t="s">
        <v>93</v>
      </c>
      <c r="L225" t="str">
        <f t="shared" si="3"/>
        <v>Friday</v>
      </c>
    </row>
    <row r="226" spans="1:12" ht="14.25" customHeight="1" x14ac:dyDescent="0.45">
      <c r="A226" t="s">
        <v>1146</v>
      </c>
      <c r="B226" s="2" t="s">
        <v>242</v>
      </c>
      <c r="C226" t="s">
        <v>96</v>
      </c>
      <c r="D226" t="s">
        <v>334</v>
      </c>
      <c r="E226" t="s">
        <v>515</v>
      </c>
      <c r="F226" t="s">
        <v>107</v>
      </c>
      <c r="G226">
        <v>1</v>
      </c>
      <c r="H226" s="3">
        <v>1520</v>
      </c>
      <c r="I226" s="3">
        <v>1520</v>
      </c>
      <c r="J226" t="s">
        <v>82</v>
      </c>
      <c r="K226" t="s">
        <v>83</v>
      </c>
      <c r="L226" t="str">
        <f t="shared" si="3"/>
        <v>Tuesday</v>
      </c>
    </row>
    <row r="227" spans="1:12" ht="14.25" customHeight="1" x14ac:dyDescent="0.45">
      <c r="A227" t="s">
        <v>812</v>
      </c>
      <c r="B227" s="2" t="s">
        <v>169</v>
      </c>
      <c r="C227" t="s">
        <v>96</v>
      </c>
      <c r="D227" t="s">
        <v>398</v>
      </c>
      <c r="E227" t="s">
        <v>399</v>
      </c>
      <c r="F227" t="s">
        <v>123</v>
      </c>
      <c r="G227">
        <v>1</v>
      </c>
      <c r="H227" s="3">
        <v>3090</v>
      </c>
      <c r="I227" s="3">
        <v>3090</v>
      </c>
      <c r="J227" t="s">
        <v>76</v>
      </c>
      <c r="K227" t="s">
        <v>83</v>
      </c>
      <c r="L227" t="str">
        <f t="shared" si="3"/>
        <v>Saturday</v>
      </c>
    </row>
    <row r="228" spans="1:12" ht="14.25" customHeight="1" x14ac:dyDescent="0.45">
      <c r="A228" t="s">
        <v>508</v>
      </c>
      <c r="B228" s="2" t="s">
        <v>509</v>
      </c>
      <c r="C228" t="s">
        <v>72</v>
      </c>
      <c r="D228" t="s">
        <v>472</v>
      </c>
      <c r="E228" t="s">
        <v>497</v>
      </c>
      <c r="F228" t="s">
        <v>117</v>
      </c>
      <c r="G228">
        <v>2</v>
      </c>
      <c r="H228" s="3">
        <v>3150</v>
      </c>
      <c r="I228" s="3">
        <v>6300</v>
      </c>
      <c r="J228" t="s">
        <v>82</v>
      </c>
      <c r="K228" t="s">
        <v>93</v>
      </c>
      <c r="L228" t="str">
        <f t="shared" si="3"/>
        <v>Tuesday</v>
      </c>
    </row>
    <row r="229" spans="1:12" ht="14.25" customHeight="1" x14ac:dyDescent="0.45">
      <c r="A229" t="s">
        <v>946</v>
      </c>
      <c r="B229" s="2" t="s">
        <v>295</v>
      </c>
      <c r="C229" t="s">
        <v>96</v>
      </c>
      <c r="D229" t="s">
        <v>398</v>
      </c>
      <c r="E229" t="s">
        <v>448</v>
      </c>
      <c r="F229" t="s">
        <v>90</v>
      </c>
      <c r="G229">
        <v>1</v>
      </c>
      <c r="H229" s="3">
        <v>2280</v>
      </c>
      <c r="I229" s="3">
        <v>2280</v>
      </c>
      <c r="J229" t="s">
        <v>82</v>
      </c>
      <c r="K229" t="s">
        <v>83</v>
      </c>
      <c r="L229" t="str">
        <f t="shared" si="3"/>
        <v>Wednesday</v>
      </c>
    </row>
    <row r="230" spans="1:12" ht="14.25" customHeight="1" x14ac:dyDescent="0.45">
      <c r="A230" t="s">
        <v>1013</v>
      </c>
      <c r="B230" s="2" t="s">
        <v>326</v>
      </c>
      <c r="C230" t="s">
        <v>89</v>
      </c>
      <c r="D230" t="s">
        <v>472</v>
      </c>
      <c r="E230" t="s">
        <v>691</v>
      </c>
      <c r="F230" t="s">
        <v>117</v>
      </c>
      <c r="G230">
        <v>2</v>
      </c>
      <c r="H230" s="3">
        <v>980</v>
      </c>
      <c r="I230" s="3">
        <v>1960</v>
      </c>
      <c r="J230" t="s">
        <v>76</v>
      </c>
      <c r="K230" t="s">
        <v>93</v>
      </c>
      <c r="L230" t="str">
        <f t="shared" si="3"/>
        <v>Saturday</v>
      </c>
    </row>
    <row r="231" spans="1:12" ht="14.25" customHeight="1" x14ac:dyDescent="0.45">
      <c r="A231" t="s">
        <v>923</v>
      </c>
      <c r="B231" s="2" t="s">
        <v>307</v>
      </c>
      <c r="C231" t="s">
        <v>80</v>
      </c>
      <c r="D231" t="s">
        <v>472</v>
      </c>
      <c r="E231" t="s">
        <v>473</v>
      </c>
      <c r="F231" t="s">
        <v>107</v>
      </c>
      <c r="G231">
        <v>1</v>
      </c>
      <c r="H231" s="3">
        <v>2400</v>
      </c>
      <c r="I231" s="3">
        <v>2400</v>
      </c>
      <c r="J231" t="s">
        <v>82</v>
      </c>
      <c r="K231" t="s">
        <v>83</v>
      </c>
      <c r="L231" t="str">
        <f t="shared" si="3"/>
        <v>Sunday</v>
      </c>
    </row>
    <row r="232" spans="1:12" ht="14.25" customHeight="1" x14ac:dyDescent="0.45">
      <c r="A232" t="s">
        <v>797</v>
      </c>
      <c r="B232" s="2" t="s">
        <v>430</v>
      </c>
      <c r="C232" t="s">
        <v>89</v>
      </c>
      <c r="D232" t="s">
        <v>472</v>
      </c>
      <c r="E232" t="s">
        <v>497</v>
      </c>
      <c r="F232" t="s">
        <v>86</v>
      </c>
      <c r="G232">
        <v>1</v>
      </c>
      <c r="H232" s="3">
        <v>3130</v>
      </c>
      <c r="I232" s="3">
        <v>3130</v>
      </c>
      <c r="J232" t="s">
        <v>82</v>
      </c>
      <c r="K232" t="s">
        <v>93</v>
      </c>
      <c r="L232" t="str">
        <f t="shared" si="3"/>
        <v>Friday</v>
      </c>
    </row>
    <row r="233" spans="1:12" ht="14.25" customHeight="1" x14ac:dyDescent="0.45">
      <c r="A233" t="s">
        <v>1081</v>
      </c>
      <c r="B233" s="2" t="s">
        <v>210</v>
      </c>
      <c r="C233" t="s">
        <v>72</v>
      </c>
      <c r="D233" t="s">
        <v>398</v>
      </c>
      <c r="E233" t="s">
        <v>475</v>
      </c>
      <c r="F233" t="s">
        <v>75</v>
      </c>
      <c r="G233">
        <v>1</v>
      </c>
      <c r="H233" s="3">
        <v>1780</v>
      </c>
      <c r="I233" s="3">
        <v>1780</v>
      </c>
      <c r="J233" t="s">
        <v>82</v>
      </c>
      <c r="K233" t="s">
        <v>83</v>
      </c>
      <c r="L233" t="str">
        <f t="shared" si="3"/>
        <v>Thursday</v>
      </c>
    </row>
    <row r="234" spans="1:12" ht="14.25" customHeight="1" x14ac:dyDescent="0.45">
      <c r="A234" t="s">
        <v>1206</v>
      </c>
      <c r="B234" s="2" t="s">
        <v>583</v>
      </c>
      <c r="C234" t="s">
        <v>100</v>
      </c>
      <c r="D234" t="s">
        <v>472</v>
      </c>
      <c r="E234" t="s">
        <v>557</v>
      </c>
      <c r="F234" t="s">
        <v>86</v>
      </c>
      <c r="G234">
        <v>1</v>
      </c>
      <c r="H234" s="3">
        <v>1190</v>
      </c>
      <c r="I234" s="3">
        <v>1190</v>
      </c>
      <c r="J234" t="s">
        <v>82</v>
      </c>
      <c r="K234" t="s">
        <v>83</v>
      </c>
      <c r="L234" t="str">
        <f t="shared" si="3"/>
        <v>Wednesday</v>
      </c>
    </row>
    <row r="235" spans="1:12" ht="14.25" customHeight="1" x14ac:dyDescent="0.45">
      <c r="A235" t="s">
        <v>396</v>
      </c>
      <c r="B235" s="2" t="s">
        <v>216</v>
      </c>
      <c r="C235" t="s">
        <v>80</v>
      </c>
      <c r="D235" t="s">
        <v>196</v>
      </c>
      <c r="E235" t="s">
        <v>246</v>
      </c>
      <c r="F235" t="s">
        <v>97</v>
      </c>
      <c r="G235">
        <v>1</v>
      </c>
      <c r="H235" s="3">
        <v>12970</v>
      </c>
      <c r="I235" s="3">
        <v>12970</v>
      </c>
      <c r="J235" t="s">
        <v>82</v>
      </c>
      <c r="K235" t="s">
        <v>83</v>
      </c>
      <c r="L235" t="str">
        <f t="shared" si="3"/>
        <v>Sunday</v>
      </c>
    </row>
    <row r="236" spans="1:12" ht="14.25" customHeight="1" x14ac:dyDescent="0.45">
      <c r="A236" t="s">
        <v>105</v>
      </c>
      <c r="B236" s="2" t="s">
        <v>106</v>
      </c>
      <c r="C236" t="s">
        <v>89</v>
      </c>
      <c r="D236" t="s">
        <v>73</v>
      </c>
      <c r="E236" t="s">
        <v>101</v>
      </c>
      <c r="F236" t="s">
        <v>107</v>
      </c>
      <c r="G236">
        <v>3</v>
      </c>
      <c r="H236" s="3">
        <v>42960</v>
      </c>
      <c r="I236" s="3">
        <v>128880</v>
      </c>
      <c r="J236" t="s">
        <v>82</v>
      </c>
      <c r="K236" t="s">
        <v>77</v>
      </c>
      <c r="L236" t="str">
        <f t="shared" si="3"/>
        <v>Friday</v>
      </c>
    </row>
    <row r="237" spans="1:12" ht="14.25" customHeight="1" x14ac:dyDescent="0.45">
      <c r="A237" t="s">
        <v>333</v>
      </c>
      <c r="B237" s="2" t="s">
        <v>139</v>
      </c>
      <c r="C237" t="s">
        <v>89</v>
      </c>
      <c r="D237" t="s">
        <v>334</v>
      </c>
      <c r="E237" t="s">
        <v>335</v>
      </c>
      <c r="F237" t="s">
        <v>75</v>
      </c>
      <c r="G237">
        <v>4</v>
      </c>
      <c r="H237" s="3">
        <v>3930</v>
      </c>
      <c r="I237" s="3">
        <v>15720</v>
      </c>
      <c r="J237" t="s">
        <v>76</v>
      </c>
      <c r="K237" t="s">
        <v>83</v>
      </c>
      <c r="L237" t="str">
        <f t="shared" si="3"/>
        <v>Thursday</v>
      </c>
    </row>
    <row r="238" spans="1:12" ht="14.25" customHeight="1" x14ac:dyDescent="0.45">
      <c r="A238" t="s">
        <v>1139</v>
      </c>
      <c r="B238" s="2" t="s">
        <v>106</v>
      </c>
      <c r="C238" t="s">
        <v>89</v>
      </c>
      <c r="D238" t="s">
        <v>472</v>
      </c>
      <c r="E238" t="s">
        <v>500</v>
      </c>
      <c r="F238" t="s">
        <v>97</v>
      </c>
      <c r="G238">
        <v>1</v>
      </c>
      <c r="H238" s="3">
        <v>1540</v>
      </c>
      <c r="I238" s="3">
        <v>1540</v>
      </c>
      <c r="J238" t="s">
        <v>76</v>
      </c>
      <c r="K238" t="s">
        <v>83</v>
      </c>
      <c r="L238" t="str">
        <f t="shared" si="3"/>
        <v>Friday</v>
      </c>
    </row>
    <row r="239" spans="1:12" ht="14.25" customHeight="1" x14ac:dyDescent="0.45">
      <c r="A239" t="s">
        <v>1177</v>
      </c>
      <c r="B239" s="2" t="s">
        <v>256</v>
      </c>
      <c r="C239" t="s">
        <v>100</v>
      </c>
      <c r="D239" t="s">
        <v>472</v>
      </c>
      <c r="E239" t="s">
        <v>557</v>
      </c>
      <c r="F239" t="s">
        <v>97</v>
      </c>
      <c r="G239">
        <v>1</v>
      </c>
      <c r="H239" s="3">
        <v>1230</v>
      </c>
      <c r="I239" s="3">
        <v>1230</v>
      </c>
      <c r="J239" t="s">
        <v>76</v>
      </c>
      <c r="K239" t="s">
        <v>77</v>
      </c>
      <c r="L239" t="str">
        <f t="shared" si="3"/>
        <v>Tuesday</v>
      </c>
    </row>
    <row r="240" spans="1:12" ht="14.25" customHeight="1" x14ac:dyDescent="0.45">
      <c r="A240" t="s">
        <v>865</v>
      </c>
      <c r="B240" s="2" t="s">
        <v>298</v>
      </c>
      <c r="C240" t="s">
        <v>89</v>
      </c>
      <c r="D240" t="s">
        <v>398</v>
      </c>
      <c r="E240" t="s">
        <v>464</v>
      </c>
      <c r="F240" t="s">
        <v>123</v>
      </c>
      <c r="G240">
        <v>1</v>
      </c>
      <c r="H240" s="3">
        <v>2690</v>
      </c>
      <c r="I240" s="3">
        <v>2690</v>
      </c>
      <c r="J240" t="s">
        <v>82</v>
      </c>
      <c r="K240" t="s">
        <v>93</v>
      </c>
      <c r="L240" t="str">
        <f t="shared" si="3"/>
        <v>Friday</v>
      </c>
    </row>
    <row r="241" spans="1:12" ht="14.25" customHeight="1" x14ac:dyDescent="0.45">
      <c r="A241" t="s">
        <v>806</v>
      </c>
      <c r="B241" s="2" t="s">
        <v>352</v>
      </c>
      <c r="C241" t="s">
        <v>96</v>
      </c>
      <c r="D241" t="s">
        <v>472</v>
      </c>
      <c r="E241" t="s">
        <v>497</v>
      </c>
      <c r="F241" t="s">
        <v>117</v>
      </c>
      <c r="G241">
        <v>1</v>
      </c>
      <c r="H241" s="3">
        <v>3120</v>
      </c>
      <c r="I241" s="3">
        <v>3120</v>
      </c>
      <c r="J241" t="s">
        <v>76</v>
      </c>
      <c r="K241" t="s">
        <v>93</v>
      </c>
      <c r="L241" t="str">
        <f t="shared" si="3"/>
        <v>Saturday</v>
      </c>
    </row>
    <row r="242" spans="1:12" ht="14.25" customHeight="1" x14ac:dyDescent="0.45">
      <c r="A242" t="s">
        <v>516</v>
      </c>
      <c r="B242" s="2" t="s">
        <v>517</v>
      </c>
      <c r="C242" t="s">
        <v>96</v>
      </c>
      <c r="D242" t="s">
        <v>334</v>
      </c>
      <c r="E242" t="s">
        <v>515</v>
      </c>
      <c r="F242" t="s">
        <v>140</v>
      </c>
      <c r="G242">
        <v>4</v>
      </c>
      <c r="H242" s="3">
        <v>1550</v>
      </c>
      <c r="I242" s="3">
        <v>6200</v>
      </c>
      <c r="J242" t="s">
        <v>76</v>
      </c>
      <c r="K242" t="s">
        <v>83</v>
      </c>
      <c r="L242" t="str">
        <f t="shared" si="3"/>
        <v>Wednesday</v>
      </c>
    </row>
    <row r="243" spans="1:12" ht="14.25" customHeight="1" x14ac:dyDescent="0.45">
      <c r="A243" t="s">
        <v>580</v>
      </c>
      <c r="B243" s="2" t="s">
        <v>194</v>
      </c>
      <c r="C243" t="s">
        <v>89</v>
      </c>
      <c r="D243" t="s">
        <v>196</v>
      </c>
      <c r="E243" t="s">
        <v>300</v>
      </c>
      <c r="F243" t="s">
        <v>97</v>
      </c>
      <c r="G243">
        <v>1</v>
      </c>
      <c r="H243" s="3">
        <v>4560</v>
      </c>
      <c r="I243" s="3">
        <v>4560</v>
      </c>
      <c r="J243" t="s">
        <v>76</v>
      </c>
      <c r="K243" t="s">
        <v>77</v>
      </c>
      <c r="L243" t="str">
        <f t="shared" si="3"/>
        <v>Wednesday</v>
      </c>
    </row>
    <row r="244" spans="1:12" ht="14.25" customHeight="1" x14ac:dyDescent="0.45">
      <c r="A244" t="s">
        <v>1119</v>
      </c>
      <c r="B244" s="2" t="s">
        <v>569</v>
      </c>
      <c r="C244" t="s">
        <v>89</v>
      </c>
      <c r="D244" t="s">
        <v>472</v>
      </c>
      <c r="E244" t="s">
        <v>500</v>
      </c>
      <c r="F244" t="s">
        <v>117</v>
      </c>
      <c r="G244">
        <v>1</v>
      </c>
      <c r="H244" s="3">
        <v>1590</v>
      </c>
      <c r="I244" s="3">
        <v>1590</v>
      </c>
      <c r="J244" t="s">
        <v>76</v>
      </c>
      <c r="K244" t="s">
        <v>93</v>
      </c>
      <c r="L244" t="str">
        <f t="shared" si="3"/>
        <v>Tuesday</v>
      </c>
    </row>
    <row r="245" spans="1:12" ht="14.25" customHeight="1" x14ac:dyDescent="0.45">
      <c r="A245" t="s">
        <v>957</v>
      </c>
      <c r="B245" s="2" t="s">
        <v>169</v>
      </c>
      <c r="C245" t="s">
        <v>89</v>
      </c>
      <c r="D245" t="s">
        <v>398</v>
      </c>
      <c r="E245" t="s">
        <v>448</v>
      </c>
      <c r="F245" t="s">
        <v>140</v>
      </c>
      <c r="G245">
        <v>1</v>
      </c>
      <c r="H245" s="3">
        <v>2240</v>
      </c>
      <c r="I245" s="3">
        <v>2240</v>
      </c>
      <c r="J245" t="s">
        <v>76</v>
      </c>
      <c r="K245" t="s">
        <v>77</v>
      </c>
      <c r="L245" t="str">
        <f t="shared" si="3"/>
        <v>Saturday</v>
      </c>
    </row>
    <row r="246" spans="1:12" ht="14.25" customHeight="1" x14ac:dyDescent="0.45">
      <c r="A246" t="s">
        <v>199</v>
      </c>
      <c r="B246" s="2" t="s">
        <v>200</v>
      </c>
      <c r="C246" t="s">
        <v>96</v>
      </c>
      <c r="D246" t="s">
        <v>73</v>
      </c>
      <c r="E246" t="s">
        <v>104</v>
      </c>
      <c r="F246" t="s">
        <v>131</v>
      </c>
      <c r="G246">
        <v>1</v>
      </c>
      <c r="H246" s="3">
        <v>54230</v>
      </c>
      <c r="I246" s="3">
        <v>54230</v>
      </c>
      <c r="J246" t="s">
        <v>76</v>
      </c>
      <c r="K246" t="s">
        <v>93</v>
      </c>
      <c r="L246" t="str">
        <f t="shared" si="3"/>
        <v>Thursday</v>
      </c>
    </row>
    <row r="247" spans="1:12" ht="14.25" customHeight="1" x14ac:dyDescent="0.45">
      <c r="A247" t="s">
        <v>719</v>
      </c>
      <c r="B247" s="2" t="s">
        <v>540</v>
      </c>
      <c r="C247" t="s">
        <v>80</v>
      </c>
      <c r="D247" t="s">
        <v>398</v>
      </c>
      <c r="E247" t="s">
        <v>475</v>
      </c>
      <c r="F247" t="s">
        <v>140</v>
      </c>
      <c r="G247">
        <v>2</v>
      </c>
      <c r="H247" s="3">
        <v>1820</v>
      </c>
      <c r="I247" s="3">
        <v>3640</v>
      </c>
      <c r="J247" t="s">
        <v>82</v>
      </c>
      <c r="K247" t="s">
        <v>83</v>
      </c>
      <c r="L247" t="str">
        <f t="shared" si="3"/>
        <v>Monday</v>
      </c>
    </row>
    <row r="248" spans="1:12" ht="14.25" customHeight="1" x14ac:dyDescent="0.45">
      <c r="A248" t="s">
        <v>1156</v>
      </c>
      <c r="B248" s="2" t="s">
        <v>171</v>
      </c>
      <c r="C248" t="s">
        <v>100</v>
      </c>
      <c r="D248" t="s">
        <v>334</v>
      </c>
      <c r="E248" t="s">
        <v>515</v>
      </c>
      <c r="F248" t="s">
        <v>140</v>
      </c>
      <c r="G248">
        <v>1</v>
      </c>
      <c r="H248" s="3">
        <v>1480</v>
      </c>
      <c r="I248" s="3">
        <v>1480</v>
      </c>
      <c r="J248" t="s">
        <v>82</v>
      </c>
      <c r="K248" t="s">
        <v>83</v>
      </c>
      <c r="L248" t="str">
        <f t="shared" si="3"/>
        <v>Thursday</v>
      </c>
    </row>
    <row r="249" spans="1:12" ht="14.25" customHeight="1" x14ac:dyDescent="0.45">
      <c r="A249" t="s">
        <v>386</v>
      </c>
      <c r="B249" s="2" t="s">
        <v>387</v>
      </c>
      <c r="C249" t="s">
        <v>72</v>
      </c>
      <c r="D249" t="s">
        <v>196</v>
      </c>
      <c r="E249" t="s">
        <v>246</v>
      </c>
      <c r="F249" t="s">
        <v>107</v>
      </c>
      <c r="G249">
        <v>1</v>
      </c>
      <c r="H249" s="3">
        <v>13190</v>
      </c>
      <c r="I249" s="3">
        <v>13190</v>
      </c>
      <c r="J249" t="s">
        <v>82</v>
      </c>
      <c r="K249" t="s">
        <v>83</v>
      </c>
      <c r="L249" t="str">
        <f t="shared" si="3"/>
        <v>Thursday</v>
      </c>
    </row>
    <row r="250" spans="1:12" ht="14.25" customHeight="1" x14ac:dyDescent="0.45">
      <c r="A250" t="s">
        <v>970</v>
      </c>
      <c r="B250" s="2" t="s">
        <v>171</v>
      </c>
      <c r="C250" t="s">
        <v>89</v>
      </c>
      <c r="D250" t="s">
        <v>398</v>
      </c>
      <c r="E250" t="s">
        <v>462</v>
      </c>
      <c r="F250" t="s">
        <v>97</v>
      </c>
      <c r="G250">
        <v>1</v>
      </c>
      <c r="H250" s="3">
        <v>2180</v>
      </c>
      <c r="I250" s="3">
        <v>2180</v>
      </c>
      <c r="J250" t="s">
        <v>82</v>
      </c>
      <c r="K250" t="s">
        <v>93</v>
      </c>
      <c r="L250" t="str">
        <f t="shared" si="3"/>
        <v>Thursday</v>
      </c>
    </row>
    <row r="251" spans="1:12" ht="14.25" customHeight="1" x14ac:dyDescent="0.45">
      <c r="A251" t="s">
        <v>721</v>
      </c>
      <c r="B251" s="2" t="s">
        <v>627</v>
      </c>
      <c r="C251" t="s">
        <v>80</v>
      </c>
      <c r="D251" t="s">
        <v>73</v>
      </c>
      <c r="E251" t="s">
        <v>443</v>
      </c>
      <c r="F251" t="s">
        <v>90</v>
      </c>
      <c r="G251">
        <v>1</v>
      </c>
      <c r="H251" s="3">
        <v>3590</v>
      </c>
      <c r="I251" s="3">
        <v>3590</v>
      </c>
      <c r="J251" t="s">
        <v>82</v>
      </c>
      <c r="K251" t="s">
        <v>83</v>
      </c>
      <c r="L251" t="str">
        <f t="shared" si="3"/>
        <v>Friday</v>
      </c>
    </row>
    <row r="252" spans="1:12" ht="14.25" customHeight="1" x14ac:dyDescent="0.45">
      <c r="A252" t="s">
        <v>531</v>
      </c>
      <c r="B252" s="2" t="s">
        <v>261</v>
      </c>
      <c r="C252" t="s">
        <v>89</v>
      </c>
      <c r="D252" t="s">
        <v>73</v>
      </c>
      <c r="E252" t="s">
        <v>441</v>
      </c>
      <c r="F252" t="s">
        <v>75</v>
      </c>
      <c r="G252">
        <v>2</v>
      </c>
      <c r="H252" s="3">
        <v>2790</v>
      </c>
      <c r="I252" s="3">
        <v>5580</v>
      </c>
      <c r="J252" t="s">
        <v>82</v>
      </c>
      <c r="K252" t="s">
        <v>77</v>
      </c>
      <c r="L252" t="str">
        <f t="shared" si="3"/>
        <v>Sunday</v>
      </c>
    </row>
    <row r="253" spans="1:12" ht="14.25" customHeight="1" x14ac:dyDescent="0.45">
      <c r="A253" t="s">
        <v>1160</v>
      </c>
      <c r="B253" s="2" t="s">
        <v>337</v>
      </c>
      <c r="C253" t="s">
        <v>72</v>
      </c>
      <c r="D253" t="s">
        <v>334</v>
      </c>
      <c r="E253" t="s">
        <v>515</v>
      </c>
      <c r="F253" t="s">
        <v>86</v>
      </c>
      <c r="G253">
        <v>1</v>
      </c>
      <c r="H253" s="3">
        <v>1470</v>
      </c>
      <c r="I253" s="3">
        <v>1470</v>
      </c>
      <c r="J253" t="s">
        <v>82</v>
      </c>
      <c r="K253" t="s">
        <v>77</v>
      </c>
      <c r="L253" t="str">
        <f t="shared" si="3"/>
        <v>Monday</v>
      </c>
    </row>
    <row r="254" spans="1:12" ht="14.25" customHeight="1" x14ac:dyDescent="0.45">
      <c r="A254" t="s">
        <v>228</v>
      </c>
      <c r="B254" s="2" t="s">
        <v>229</v>
      </c>
      <c r="C254" t="s">
        <v>96</v>
      </c>
      <c r="D254" t="s">
        <v>73</v>
      </c>
      <c r="E254" t="s">
        <v>101</v>
      </c>
      <c r="F254" t="s">
        <v>117</v>
      </c>
      <c r="G254">
        <v>1</v>
      </c>
      <c r="H254" s="3">
        <v>43000</v>
      </c>
      <c r="I254" s="3">
        <v>43000</v>
      </c>
      <c r="J254" t="s">
        <v>76</v>
      </c>
      <c r="K254" t="s">
        <v>83</v>
      </c>
      <c r="L254" t="str">
        <f t="shared" si="3"/>
        <v>Tuesday</v>
      </c>
    </row>
    <row r="255" spans="1:12" ht="14.25" customHeight="1" x14ac:dyDescent="0.45">
      <c r="A255" t="s">
        <v>790</v>
      </c>
      <c r="B255" s="2" t="s">
        <v>791</v>
      </c>
      <c r="C255" t="s">
        <v>96</v>
      </c>
      <c r="D255" t="s">
        <v>472</v>
      </c>
      <c r="E255" t="s">
        <v>497</v>
      </c>
      <c r="F255" t="s">
        <v>97</v>
      </c>
      <c r="G255">
        <v>1</v>
      </c>
      <c r="H255" s="3">
        <v>3150</v>
      </c>
      <c r="I255" s="3">
        <v>3150</v>
      </c>
      <c r="J255" t="s">
        <v>76</v>
      </c>
      <c r="K255" t="s">
        <v>77</v>
      </c>
      <c r="L255" t="str">
        <f t="shared" si="3"/>
        <v>Friday</v>
      </c>
    </row>
    <row r="256" spans="1:12" ht="14.25" customHeight="1" x14ac:dyDescent="0.45">
      <c r="A256" t="s">
        <v>460</v>
      </c>
      <c r="B256" s="2" t="s">
        <v>324</v>
      </c>
      <c r="C256" t="s">
        <v>100</v>
      </c>
      <c r="D256" t="s">
        <v>334</v>
      </c>
      <c r="E256" t="s">
        <v>402</v>
      </c>
      <c r="F256" t="s">
        <v>86</v>
      </c>
      <c r="G256">
        <v>2</v>
      </c>
      <c r="H256" s="3">
        <v>4080</v>
      </c>
      <c r="I256" s="3">
        <v>8160</v>
      </c>
      <c r="J256" t="s">
        <v>76</v>
      </c>
      <c r="K256" t="s">
        <v>77</v>
      </c>
      <c r="L256" t="str">
        <f t="shared" si="3"/>
        <v>Sunday</v>
      </c>
    </row>
    <row r="257" spans="1:12" ht="14.25" customHeight="1" x14ac:dyDescent="0.45">
      <c r="A257" t="s">
        <v>84</v>
      </c>
      <c r="B257" s="2" t="s">
        <v>85</v>
      </c>
      <c r="C257" t="s">
        <v>72</v>
      </c>
      <c r="D257" t="s">
        <v>73</v>
      </c>
      <c r="E257" t="s">
        <v>74</v>
      </c>
      <c r="F257" t="s">
        <v>86</v>
      </c>
      <c r="G257">
        <v>3</v>
      </c>
      <c r="H257" s="3">
        <v>92190</v>
      </c>
      <c r="I257" s="3">
        <v>276570</v>
      </c>
      <c r="J257" t="s">
        <v>76</v>
      </c>
      <c r="K257" t="s">
        <v>83</v>
      </c>
      <c r="L257" t="str">
        <f t="shared" si="3"/>
        <v>Wednesday</v>
      </c>
    </row>
    <row r="258" spans="1:12" ht="14.25" customHeight="1" x14ac:dyDescent="0.45">
      <c r="A258" t="s">
        <v>697</v>
      </c>
      <c r="B258" s="2" t="s">
        <v>289</v>
      </c>
      <c r="C258" t="s">
        <v>96</v>
      </c>
      <c r="D258" t="s">
        <v>334</v>
      </c>
      <c r="E258" t="s">
        <v>335</v>
      </c>
      <c r="F258" t="s">
        <v>117</v>
      </c>
      <c r="G258">
        <v>1</v>
      </c>
      <c r="H258" s="3">
        <v>3770</v>
      </c>
      <c r="I258" s="3">
        <v>3770</v>
      </c>
      <c r="J258" t="s">
        <v>76</v>
      </c>
      <c r="K258" t="s">
        <v>93</v>
      </c>
      <c r="L258" t="str">
        <f t="shared" ref="L258:L321" si="4">TEXT(B258,"dddd")</f>
        <v>Thursday</v>
      </c>
    </row>
    <row r="259" spans="1:12" ht="14.25" customHeight="1" x14ac:dyDescent="0.45">
      <c r="A259" t="s">
        <v>315</v>
      </c>
      <c r="B259" s="2" t="s">
        <v>303</v>
      </c>
      <c r="C259" t="s">
        <v>80</v>
      </c>
      <c r="D259" t="s">
        <v>196</v>
      </c>
      <c r="E259" t="s">
        <v>197</v>
      </c>
      <c r="F259" t="s">
        <v>123</v>
      </c>
      <c r="G259">
        <v>1</v>
      </c>
      <c r="H259" s="3">
        <v>18130</v>
      </c>
      <c r="I259" s="3">
        <v>18130</v>
      </c>
      <c r="J259" t="s">
        <v>76</v>
      </c>
      <c r="K259" t="s">
        <v>83</v>
      </c>
      <c r="L259" t="str">
        <f t="shared" si="4"/>
        <v>Tuesday</v>
      </c>
    </row>
    <row r="260" spans="1:12" ht="14.25" customHeight="1" x14ac:dyDescent="0.45">
      <c r="A260" t="s">
        <v>971</v>
      </c>
      <c r="B260" s="2" t="s">
        <v>367</v>
      </c>
      <c r="C260" t="s">
        <v>96</v>
      </c>
      <c r="D260" t="s">
        <v>398</v>
      </c>
      <c r="E260" t="s">
        <v>448</v>
      </c>
      <c r="F260" t="s">
        <v>86</v>
      </c>
      <c r="G260">
        <v>1</v>
      </c>
      <c r="H260" s="3">
        <v>2180</v>
      </c>
      <c r="I260" s="3">
        <v>2180</v>
      </c>
      <c r="J260" t="s">
        <v>82</v>
      </c>
      <c r="K260" t="s">
        <v>77</v>
      </c>
      <c r="L260" t="str">
        <f t="shared" si="4"/>
        <v>Thursday</v>
      </c>
    </row>
    <row r="261" spans="1:12" ht="14.25" customHeight="1" x14ac:dyDescent="0.45">
      <c r="A261" t="s">
        <v>512</v>
      </c>
      <c r="B261" s="2" t="s">
        <v>513</v>
      </c>
      <c r="C261" t="s">
        <v>89</v>
      </c>
      <c r="D261" t="s">
        <v>398</v>
      </c>
      <c r="E261" t="s">
        <v>462</v>
      </c>
      <c r="F261" t="s">
        <v>90</v>
      </c>
      <c r="G261">
        <v>3</v>
      </c>
      <c r="H261" s="3">
        <v>2080</v>
      </c>
      <c r="I261" s="3">
        <v>6240</v>
      </c>
      <c r="J261" t="s">
        <v>82</v>
      </c>
      <c r="K261" t="s">
        <v>77</v>
      </c>
      <c r="L261" t="str">
        <f t="shared" si="4"/>
        <v>Friday</v>
      </c>
    </row>
    <row r="262" spans="1:12" ht="14.25" customHeight="1" x14ac:dyDescent="0.45">
      <c r="A262" t="s">
        <v>1059</v>
      </c>
      <c r="B262" s="2" t="s">
        <v>142</v>
      </c>
      <c r="C262" t="s">
        <v>100</v>
      </c>
      <c r="D262" t="s">
        <v>398</v>
      </c>
      <c r="E262" t="s">
        <v>475</v>
      </c>
      <c r="F262" t="s">
        <v>117</v>
      </c>
      <c r="G262">
        <v>1</v>
      </c>
      <c r="H262" s="3">
        <v>1840</v>
      </c>
      <c r="I262" s="3">
        <v>1840</v>
      </c>
      <c r="J262" t="s">
        <v>76</v>
      </c>
      <c r="K262" t="s">
        <v>83</v>
      </c>
      <c r="L262" t="str">
        <f t="shared" si="4"/>
        <v>Friday</v>
      </c>
    </row>
    <row r="263" spans="1:12" ht="14.25" customHeight="1" x14ac:dyDescent="0.45">
      <c r="A263" t="s">
        <v>1035</v>
      </c>
      <c r="B263" s="2" t="s">
        <v>455</v>
      </c>
      <c r="C263" t="s">
        <v>96</v>
      </c>
      <c r="D263" t="s">
        <v>334</v>
      </c>
      <c r="E263" t="s">
        <v>527</v>
      </c>
      <c r="F263" t="s">
        <v>81</v>
      </c>
      <c r="G263">
        <v>1</v>
      </c>
      <c r="H263" s="3">
        <v>1890</v>
      </c>
      <c r="I263" s="3">
        <v>1890</v>
      </c>
      <c r="J263" t="s">
        <v>82</v>
      </c>
      <c r="K263" t="s">
        <v>77</v>
      </c>
      <c r="L263" t="str">
        <f t="shared" si="4"/>
        <v>Thursday</v>
      </c>
    </row>
    <row r="264" spans="1:12" ht="14.25" customHeight="1" x14ac:dyDescent="0.45">
      <c r="A264" t="s">
        <v>535</v>
      </c>
      <c r="B264" s="2" t="s">
        <v>234</v>
      </c>
      <c r="C264" t="s">
        <v>100</v>
      </c>
      <c r="D264" t="s">
        <v>398</v>
      </c>
      <c r="E264" t="s">
        <v>475</v>
      </c>
      <c r="F264" t="s">
        <v>81</v>
      </c>
      <c r="G264">
        <v>3</v>
      </c>
      <c r="H264" s="3">
        <v>1820</v>
      </c>
      <c r="I264" s="3">
        <v>5460</v>
      </c>
      <c r="J264" t="s">
        <v>76</v>
      </c>
      <c r="K264" t="s">
        <v>77</v>
      </c>
      <c r="L264" t="str">
        <f t="shared" si="4"/>
        <v>Monday</v>
      </c>
    </row>
    <row r="265" spans="1:12" ht="14.25" customHeight="1" x14ac:dyDescent="0.45">
      <c r="A265" t="s">
        <v>302</v>
      </c>
      <c r="B265" s="2" t="s">
        <v>303</v>
      </c>
      <c r="C265" t="s">
        <v>96</v>
      </c>
      <c r="D265" t="s">
        <v>196</v>
      </c>
      <c r="E265" t="s">
        <v>197</v>
      </c>
      <c r="F265" t="s">
        <v>81</v>
      </c>
      <c r="G265">
        <v>1</v>
      </c>
      <c r="H265" s="3">
        <v>18590</v>
      </c>
      <c r="I265" s="3">
        <v>18590</v>
      </c>
      <c r="J265" t="s">
        <v>76</v>
      </c>
      <c r="K265" t="s">
        <v>93</v>
      </c>
      <c r="L265" t="str">
        <f t="shared" si="4"/>
        <v>Tuesday</v>
      </c>
    </row>
    <row r="266" spans="1:12" ht="14.25" customHeight="1" x14ac:dyDescent="0.45">
      <c r="A266" t="s">
        <v>545</v>
      </c>
      <c r="B266" s="2" t="s">
        <v>404</v>
      </c>
      <c r="C266" t="s">
        <v>89</v>
      </c>
      <c r="D266" t="s">
        <v>398</v>
      </c>
      <c r="E266" t="s">
        <v>464</v>
      </c>
      <c r="F266" t="s">
        <v>117</v>
      </c>
      <c r="G266">
        <v>2</v>
      </c>
      <c r="H266" s="3">
        <v>2530</v>
      </c>
      <c r="I266" s="3">
        <v>5060</v>
      </c>
      <c r="J266" t="s">
        <v>76</v>
      </c>
      <c r="K266" t="s">
        <v>93</v>
      </c>
      <c r="L266" t="str">
        <f t="shared" si="4"/>
        <v>Thursday</v>
      </c>
    </row>
    <row r="267" spans="1:12" ht="14.25" customHeight="1" x14ac:dyDescent="0.45">
      <c r="A267" t="s">
        <v>838</v>
      </c>
      <c r="B267" s="2" t="s">
        <v>264</v>
      </c>
      <c r="C267" t="s">
        <v>100</v>
      </c>
      <c r="D267" t="s">
        <v>472</v>
      </c>
      <c r="E267" t="s">
        <v>497</v>
      </c>
      <c r="F267" t="s">
        <v>107</v>
      </c>
      <c r="G267">
        <v>1</v>
      </c>
      <c r="H267" s="3">
        <v>2980</v>
      </c>
      <c r="I267" s="3">
        <v>2980</v>
      </c>
      <c r="J267" t="s">
        <v>76</v>
      </c>
      <c r="K267" t="s">
        <v>77</v>
      </c>
      <c r="L267" t="str">
        <f t="shared" si="4"/>
        <v>Monday</v>
      </c>
    </row>
    <row r="268" spans="1:12" ht="14.25" customHeight="1" x14ac:dyDescent="0.45">
      <c r="A268" t="s">
        <v>1020</v>
      </c>
      <c r="B268" s="2" t="s">
        <v>381</v>
      </c>
      <c r="C268" t="s">
        <v>100</v>
      </c>
      <c r="D268" t="s">
        <v>334</v>
      </c>
      <c r="E268" t="s">
        <v>527</v>
      </c>
      <c r="F268" t="s">
        <v>90</v>
      </c>
      <c r="G268">
        <v>1</v>
      </c>
      <c r="H268" s="3">
        <v>1940</v>
      </c>
      <c r="I268" s="3">
        <v>1940</v>
      </c>
      <c r="J268" t="s">
        <v>82</v>
      </c>
      <c r="K268" t="s">
        <v>83</v>
      </c>
      <c r="L268" t="str">
        <f t="shared" si="4"/>
        <v>Sunday</v>
      </c>
    </row>
    <row r="269" spans="1:12" ht="14.25" customHeight="1" x14ac:dyDescent="0.45">
      <c r="A269" t="s">
        <v>1173</v>
      </c>
      <c r="B269" s="2" t="s">
        <v>119</v>
      </c>
      <c r="C269" t="s">
        <v>72</v>
      </c>
      <c r="D269" t="s">
        <v>472</v>
      </c>
      <c r="E269" t="s">
        <v>557</v>
      </c>
      <c r="F269" t="s">
        <v>140</v>
      </c>
      <c r="G269">
        <v>1</v>
      </c>
      <c r="H269" s="3">
        <v>1240</v>
      </c>
      <c r="I269" s="3">
        <v>1240</v>
      </c>
      <c r="J269" t="s">
        <v>82</v>
      </c>
      <c r="K269" t="s">
        <v>77</v>
      </c>
      <c r="L269" t="str">
        <f t="shared" si="4"/>
        <v>Tuesday</v>
      </c>
    </row>
    <row r="270" spans="1:12" ht="14.25" customHeight="1" x14ac:dyDescent="0.45">
      <c r="A270" t="s">
        <v>1105</v>
      </c>
      <c r="B270" s="2" t="s">
        <v>404</v>
      </c>
      <c r="C270" t="s">
        <v>96</v>
      </c>
      <c r="D270" t="s">
        <v>472</v>
      </c>
      <c r="E270" t="s">
        <v>500</v>
      </c>
      <c r="F270" t="s">
        <v>86</v>
      </c>
      <c r="G270">
        <v>1</v>
      </c>
      <c r="H270" s="3">
        <v>1630</v>
      </c>
      <c r="I270" s="3">
        <v>1630</v>
      </c>
      <c r="J270" t="s">
        <v>76</v>
      </c>
      <c r="K270" t="s">
        <v>83</v>
      </c>
      <c r="L270" t="str">
        <f t="shared" si="4"/>
        <v>Thursday</v>
      </c>
    </row>
    <row r="271" spans="1:12" ht="14.25" customHeight="1" x14ac:dyDescent="0.45">
      <c r="A271" t="s">
        <v>1231</v>
      </c>
      <c r="B271" s="2" t="s">
        <v>307</v>
      </c>
      <c r="C271" t="s">
        <v>80</v>
      </c>
      <c r="D271" t="s">
        <v>472</v>
      </c>
      <c r="E271" t="s">
        <v>691</v>
      </c>
      <c r="F271" t="s">
        <v>81</v>
      </c>
      <c r="G271">
        <v>1</v>
      </c>
      <c r="H271" s="3">
        <v>980</v>
      </c>
      <c r="I271" s="3">
        <v>980</v>
      </c>
      <c r="J271" t="s">
        <v>76</v>
      </c>
      <c r="K271" t="s">
        <v>77</v>
      </c>
      <c r="L271" t="str">
        <f t="shared" si="4"/>
        <v>Sunday</v>
      </c>
    </row>
    <row r="272" spans="1:12" ht="14.25" customHeight="1" x14ac:dyDescent="0.45">
      <c r="A272" t="s">
        <v>432</v>
      </c>
      <c r="B272" s="2" t="s">
        <v>137</v>
      </c>
      <c r="C272" t="s">
        <v>96</v>
      </c>
      <c r="D272" t="s">
        <v>334</v>
      </c>
      <c r="E272" t="s">
        <v>335</v>
      </c>
      <c r="F272" t="s">
        <v>97</v>
      </c>
      <c r="G272">
        <v>3</v>
      </c>
      <c r="H272" s="3">
        <v>3900</v>
      </c>
      <c r="I272" s="3">
        <v>11700</v>
      </c>
      <c r="J272" t="s">
        <v>76</v>
      </c>
      <c r="K272" t="s">
        <v>93</v>
      </c>
      <c r="L272" t="str">
        <f t="shared" si="4"/>
        <v>Monday</v>
      </c>
    </row>
    <row r="273" spans="1:12" ht="14.25" customHeight="1" x14ac:dyDescent="0.45">
      <c r="A273" t="s">
        <v>741</v>
      </c>
      <c r="B273" s="2" t="s">
        <v>225</v>
      </c>
      <c r="C273" t="s">
        <v>72</v>
      </c>
      <c r="D273" t="s">
        <v>73</v>
      </c>
      <c r="E273" t="s">
        <v>443</v>
      </c>
      <c r="F273" t="s">
        <v>117</v>
      </c>
      <c r="G273">
        <v>1</v>
      </c>
      <c r="H273" s="3">
        <v>3390</v>
      </c>
      <c r="I273" s="3">
        <v>3390</v>
      </c>
      <c r="J273" t="s">
        <v>82</v>
      </c>
      <c r="K273" t="s">
        <v>83</v>
      </c>
      <c r="L273" t="str">
        <f t="shared" si="4"/>
        <v>Sunday</v>
      </c>
    </row>
    <row r="274" spans="1:12" ht="14.25" customHeight="1" x14ac:dyDescent="0.45">
      <c r="A274" t="s">
        <v>1168</v>
      </c>
      <c r="B274" s="2" t="s">
        <v>295</v>
      </c>
      <c r="C274" t="s">
        <v>80</v>
      </c>
      <c r="D274" t="s">
        <v>472</v>
      </c>
      <c r="E274" t="s">
        <v>557</v>
      </c>
      <c r="F274" t="s">
        <v>117</v>
      </c>
      <c r="G274">
        <v>1</v>
      </c>
      <c r="H274" s="3">
        <v>1250</v>
      </c>
      <c r="I274" s="3">
        <v>1250</v>
      </c>
      <c r="J274" t="s">
        <v>76</v>
      </c>
      <c r="K274" t="s">
        <v>93</v>
      </c>
      <c r="L274" t="str">
        <f t="shared" si="4"/>
        <v>Wednesday</v>
      </c>
    </row>
    <row r="275" spans="1:12" ht="14.25" customHeight="1" x14ac:dyDescent="0.45">
      <c r="A275" t="s">
        <v>1186</v>
      </c>
      <c r="B275" s="2" t="s">
        <v>467</v>
      </c>
      <c r="C275" t="s">
        <v>96</v>
      </c>
      <c r="D275" t="s">
        <v>472</v>
      </c>
      <c r="E275" t="s">
        <v>557</v>
      </c>
      <c r="F275" t="s">
        <v>86</v>
      </c>
      <c r="G275">
        <v>1</v>
      </c>
      <c r="H275" s="3">
        <v>1220</v>
      </c>
      <c r="I275" s="3">
        <v>1220</v>
      </c>
      <c r="J275" t="s">
        <v>82</v>
      </c>
      <c r="K275" t="s">
        <v>83</v>
      </c>
      <c r="L275" t="str">
        <f t="shared" si="4"/>
        <v>Thursday</v>
      </c>
    </row>
    <row r="276" spans="1:12" ht="14.25" customHeight="1" x14ac:dyDescent="0.45">
      <c r="A276" t="s">
        <v>798</v>
      </c>
      <c r="B276" s="2" t="s">
        <v>171</v>
      </c>
      <c r="C276" t="s">
        <v>72</v>
      </c>
      <c r="D276" t="s">
        <v>398</v>
      </c>
      <c r="E276" t="s">
        <v>399</v>
      </c>
      <c r="F276" t="s">
        <v>131</v>
      </c>
      <c r="G276">
        <v>1</v>
      </c>
      <c r="H276" s="3">
        <v>3130</v>
      </c>
      <c r="I276" s="3">
        <v>3130</v>
      </c>
      <c r="J276" t="s">
        <v>76</v>
      </c>
      <c r="K276" t="s">
        <v>83</v>
      </c>
      <c r="L276" t="str">
        <f t="shared" si="4"/>
        <v>Thursday</v>
      </c>
    </row>
    <row r="277" spans="1:12" ht="14.25" customHeight="1" x14ac:dyDescent="0.45">
      <c r="A277" t="s">
        <v>878</v>
      </c>
      <c r="B277" s="2" t="s">
        <v>544</v>
      </c>
      <c r="C277" t="s">
        <v>89</v>
      </c>
      <c r="D277" t="s">
        <v>398</v>
      </c>
      <c r="E277" t="s">
        <v>464</v>
      </c>
      <c r="F277" t="s">
        <v>107</v>
      </c>
      <c r="G277">
        <v>1</v>
      </c>
      <c r="H277" s="3">
        <v>2600</v>
      </c>
      <c r="I277" s="3">
        <v>2600</v>
      </c>
      <c r="J277" t="s">
        <v>82</v>
      </c>
      <c r="K277" t="s">
        <v>77</v>
      </c>
      <c r="L277" t="str">
        <f t="shared" si="4"/>
        <v>Sunday</v>
      </c>
    </row>
    <row r="278" spans="1:12" ht="14.25" customHeight="1" x14ac:dyDescent="0.45">
      <c r="A278" t="s">
        <v>510</v>
      </c>
      <c r="B278" s="2" t="s">
        <v>158</v>
      </c>
      <c r="C278" t="s">
        <v>89</v>
      </c>
      <c r="D278" t="s">
        <v>472</v>
      </c>
      <c r="E278" t="s">
        <v>500</v>
      </c>
      <c r="F278" t="s">
        <v>140</v>
      </c>
      <c r="G278">
        <v>4</v>
      </c>
      <c r="H278" s="3">
        <v>1570</v>
      </c>
      <c r="I278" s="3">
        <v>6280</v>
      </c>
      <c r="J278" t="s">
        <v>76</v>
      </c>
      <c r="K278" t="s">
        <v>83</v>
      </c>
      <c r="L278" t="str">
        <f t="shared" si="4"/>
        <v>Friday</v>
      </c>
    </row>
    <row r="279" spans="1:12" ht="14.25" customHeight="1" x14ac:dyDescent="0.45">
      <c r="A279" t="s">
        <v>1093</v>
      </c>
      <c r="B279" s="2" t="s">
        <v>92</v>
      </c>
      <c r="C279" t="s">
        <v>72</v>
      </c>
      <c r="D279" t="s">
        <v>398</v>
      </c>
      <c r="E279" t="s">
        <v>475</v>
      </c>
      <c r="F279" t="s">
        <v>140</v>
      </c>
      <c r="G279">
        <v>1</v>
      </c>
      <c r="H279" s="3">
        <v>1740</v>
      </c>
      <c r="I279" s="3">
        <v>1740</v>
      </c>
      <c r="J279" t="s">
        <v>82</v>
      </c>
      <c r="K279" t="s">
        <v>77</v>
      </c>
      <c r="L279" t="str">
        <f t="shared" si="4"/>
        <v>Saturday</v>
      </c>
    </row>
    <row r="280" spans="1:12" ht="14.25" customHeight="1" x14ac:dyDescent="0.45">
      <c r="A280" t="s">
        <v>767</v>
      </c>
      <c r="B280" s="2" t="s">
        <v>374</v>
      </c>
      <c r="C280" t="s">
        <v>89</v>
      </c>
      <c r="D280" t="s">
        <v>472</v>
      </c>
      <c r="E280" t="s">
        <v>497</v>
      </c>
      <c r="F280" t="s">
        <v>140</v>
      </c>
      <c r="G280">
        <v>1</v>
      </c>
      <c r="H280" s="3">
        <v>3200</v>
      </c>
      <c r="I280" s="3">
        <v>3200</v>
      </c>
      <c r="J280" t="s">
        <v>76</v>
      </c>
      <c r="K280" t="s">
        <v>93</v>
      </c>
      <c r="L280" t="str">
        <f t="shared" si="4"/>
        <v>Wednesday</v>
      </c>
    </row>
    <row r="281" spans="1:12" ht="14.25" customHeight="1" x14ac:dyDescent="0.45">
      <c r="A281" t="s">
        <v>1211</v>
      </c>
      <c r="B281" s="2" t="s">
        <v>135</v>
      </c>
      <c r="C281" t="s">
        <v>100</v>
      </c>
      <c r="D281" t="s">
        <v>472</v>
      </c>
      <c r="E281" t="s">
        <v>557</v>
      </c>
      <c r="F281" t="s">
        <v>81</v>
      </c>
      <c r="G281">
        <v>1</v>
      </c>
      <c r="H281" s="3">
        <v>1170</v>
      </c>
      <c r="I281" s="3">
        <v>1170</v>
      </c>
      <c r="J281" t="s">
        <v>76</v>
      </c>
      <c r="K281" t="s">
        <v>83</v>
      </c>
      <c r="L281" t="str">
        <f t="shared" si="4"/>
        <v>Saturday</v>
      </c>
    </row>
    <row r="282" spans="1:12" ht="14.25" customHeight="1" x14ac:dyDescent="0.45">
      <c r="A282" t="s">
        <v>267</v>
      </c>
      <c r="B282" s="2" t="s">
        <v>164</v>
      </c>
      <c r="C282" t="s">
        <v>96</v>
      </c>
      <c r="D282" t="s">
        <v>196</v>
      </c>
      <c r="E282" t="s">
        <v>214</v>
      </c>
      <c r="F282" t="s">
        <v>131</v>
      </c>
      <c r="G282">
        <v>2</v>
      </c>
      <c r="H282" s="3">
        <v>15010</v>
      </c>
      <c r="I282" s="3">
        <v>30020</v>
      </c>
      <c r="J282" t="s">
        <v>76</v>
      </c>
      <c r="K282" t="s">
        <v>93</v>
      </c>
      <c r="L282" t="str">
        <f t="shared" si="4"/>
        <v>Friday</v>
      </c>
    </row>
    <row r="283" spans="1:12" ht="14.25" customHeight="1" x14ac:dyDescent="0.45">
      <c r="A283" t="s">
        <v>581</v>
      </c>
      <c r="B283" s="2" t="s">
        <v>253</v>
      </c>
      <c r="C283" t="s">
        <v>89</v>
      </c>
      <c r="D283" t="s">
        <v>398</v>
      </c>
      <c r="E283" t="s">
        <v>448</v>
      </c>
      <c r="F283" t="s">
        <v>97</v>
      </c>
      <c r="G283">
        <v>2</v>
      </c>
      <c r="H283" s="3">
        <v>2280</v>
      </c>
      <c r="I283" s="3">
        <v>4560</v>
      </c>
      <c r="J283" t="s">
        <v>82</v>
      </c>
      <c r="K283" t="s">
        <v>77</v>
      </c>
      <c r="L283" t="str">
        <f t="shared" si="4"/>
        <v>Friday</v>
      </c>
    </row>
    <row r="284" spans="1:12" ht="14.25" customHeight="1" x14ac:dyDescent="0.45">
      <c r="A284" t="s">
        <v>316</v>
      </c>
      <c r="B284" s="2" t="s">
        <v>278</v>
      </c>
      <c r="C284" t="s">
        <v>100</v>
      </c>
      <c r="D284" t="s">
        <v>196</v>
      </c>
      <c r="E284" t="s">
        <v>197</v>
      </c>
      <c r="F284" t="s">
        <v>90</v>
      </c>
      <c r="G284">
        <v>1</v>
      </c>
      <c r="H284" s="3">
        <v>18110</v>
      </c>
      <c r="I284" s="3">
        <v>18110</v>
      </c>
      <c r="J284" t="s">
        <v>82</v>
      </c>
      <c r="K284" t="s">
        <v>77</v>
      </c>
      <c r="L284" t="str">
        <f t="shared" si="4"/>
        <v>Wednesday</v>
      </c>
    </row>
    <row r="285" spans="1:12" ht="14.25" customHeight="1" x14ac:dyDescent="0.45">
      <c r="A285" t="s">
        <v>981</v>
      </c>
      <c r="B285" s="2" t="s">
        <v>92</v>
      </c>
      <c r="C285" t="s">
        <v>100</v>
      </c>
      <c r="D285" t="s">
        <v>398</v>
      </c>
      <c r="E285" t="s">
        <v>448</v>
      </c>
      <c r="F285" t="s">
        <v>140</v>
      </c>
      <c r="G285">
        <v>1</v>
      </c>
      <c r="H285" s="3">
        <v>2160</v>
      </c>
      <c r="I285" s="3">
        <v>2160</v>
      </c>
      <c r="J285" t="s">
        <v>76</v>
      </c>
      <c r="K285" t="s">
        <v>83</v>
      </c>
      <c r="L285" t="str">
        <f t="shared" si="4"/>
        <v>Saturday</v>
      </c>
    </row>
    <row r="286" spans="1:12" ht="14.25" customHeight="1" x14ac:dyDescent="0.45">
      <c r="A286" t="s">
        <v>959</v>
      </c>
      <c r="B286" s="2" t="s">
        <v>234</v>
      </c>
      <c r="C286" t="s">
        <v>72</v>
      </c>
      <c r="D286" t="s">
        <v>398</v>
      </c>
      <c r="E286" t="s">
        <v>448</v>
      </c>
      <c r="F286" t="s">
        <v>123</v>
      </c>
      <c r="G286">
        <v>1</v>
      </c>
      <c r="H286" s="3">
        <v>2230</v>
      </c>
      <c r="I286" s="3">
        <v>2230</v>
      </c>
      <c r="J286" t="s">
        <v>76</v>
      </c>
      <c r="K286" t="s">
        <v>77</v>
      </c>
      <c r="L286" t="str">
        <f t="shared" si="4"/>
        <v>Monday</v>
      </c>
    </row>
    <row r="287" spans="1:12" ht="14.25" customHeight="1" x14ac:dyDescent="0.45">
      <c r="A287" t="s">
        <v>1082</v>
      </c>
      <c r="B287" s="2" t="s">
        <v>950</v>
      </c>
      <c r="C287" t="s">
        <v>89</v>
      </c>
      <c r="D287" t="s">
        <v>398</v>
      </c>
      <c r="E287" t="s">
        <v>475</v>
      </c>
      <c r="F287" t="s">
        <v>123</v>
      </c>
      <c r="G287">
        <v>1</v>
      </c>
      <c r="H287" s="3">
        <v>1780</v>
      </c>
      <c r="I287" s="3">
        <v>1780</v>
      </c>
      <c r="J287" t="s">
        <v>82</v>
      </c>
      <c r="K287" t="s">
        <v>83</v>
      </c>
      <c r="L287" t="str">
        <f t="shared" si="4"/>
        <v>Saturday</v>
      </c>
    </row>
    <row r="288" spans="1:12" ht="14.25" customHeight="1" x14ac:dyDescent="0.45">
      <c r="A288" t="s">
        <v>1200</v>
      </c>
      <c r="B288" s="2" t="s">
        <v>85</v>
      </c>
      <c r="C288" t="s">
        <v>100</v>
      </c>
      <c r="D288" t="s">
        <v>472</v>
      </c>
      <c r="E288" t="s">
        <v>557</v>
      </c>
      <c r="F288" t="s">
        <v>123</v>
      </c>
      <c r="G288">
        <v>1</v>
      </c>
      <c r="H288" s="3">
        <v>1200</v>
      </c>
      <c r="I288" s="3">
        <v>1200</v>
      </c>
      <c r="J288" t="s">
        <v>76</v>
      </c>
      <c r="K288" t="s">
        <v>77</v>
      </c>
      <c r="L288" t="str">
        <f t="shared" si="4"/>
        <v>Wednesday</v>
      </c>
    </row>
    <row r="289" spans="1:12" ht="14.25" customHeight="1" x14ac:dyDescent="0.45">
      <c r="A289" t="s">
        <v>1154</v>
      </c>
      <c r="B289" s="2" t="s">
        <v>146</v>
      </c>
      <c r="C289" t="s">
        <v>96</v>
      </c>
      <c r="D289" t="s">
        <v>334</v>
      </c>
      <c r="E289" t="s">
        <v>515</v>
      </c>
      <c r="F289" t="s">
        <v>90</v>
      </c>
      <c r="G289">
        <v>1</v>
      </c>
      <c r="H289" s="3">
        <v>1490</v>
      </c>
      <c r="I289" s="3">
        <v>1490</v>
      </c>
      <c r="J289" t="s">
        <v>82</v>
      </c>
      <c r="K289" t="s">
        <v>93</v>
      </c>
      <c r="L289" t="str">
        <f t="shared" si="4"/>
        <v>Saturday</v>
      </c>
    </row>
    <row r="290" spans="1:12" ht="14.25" customHeight="1" x14ac:dyDescent="0.45">
      <c r="A290" t="s">
        <v>98</v>
      </c>
      <c r="B290" s="2" t="s">
        <v>99</v>
      </c>
      <c r="C290" t="s">
        <v>100</v>
      </c>
      <c r="D290" t="s">
        <v>73</v>
      </c>
      <c r="E290" t="s">
        <v>101</v>
      </c>
      <c r="F290" t="s">
        <v>75</v>
      </c>
      <c r="G290">
        <v>4</v>
      </c>
      <c r="H290" s="3">
        <v>42860</v>
      </c>
      <c r="I290" s="3">
        <v>171440</v>
      </c>
      <c r="J290" t="s">
        <v>82</v>
      </c>
      <c r="K290" t="s">
        <v>83</v>
      </c>
      <c r="L290" t="str">
        <f t="shared" si="4"/>
        <v>Saturday</v>
      </c>
    </row>
    <row r="291" spans="1:12" ht="14.25" customHeight="1" x14ac:dyDescent="0.45">
      <c r="A291" t="s">
        <v>255</v>
      </c>
      <c r="B291" s="2" t="s">
        <v>256</v>
      </c>
      <c r="C291" t="s">
        <v>100</v>
      </c>
      <c r="D291" t="s">
        <v>196</v>
      </c>
      <c r="E291" t="s">
        <v>197</v>
      </c>
      <c r="F291" t="s">
        <v>86</v>
      </c>
      <c r="G291">
        <v>2</v>
      </c>
      <c r="H291" s="3">
        <v>18290</v>
      </c>
      <c r="I291" s="3">
        <v>36580</v>
      </c>
      <c r="J291" t="s">
        <v>76</v>
      </c>
      <c r="K291" t="s">
        <v>83</v>
      </c>
      <c r="L291" t="str">
        <f t="shared" si="4"/>
        <v>Tuesday</v>
      </c>
    </row>
    <row r="292" spans="1:12" ht="14.25" customHeight="1" x14ac:dyDescent="0.45">
      <c r="A292" t="s">
        <v>344</v>
      </c>
      <c r="B292" s="2" t="s">
        <v>345</v>
      </c>
      <c r="C292" t="s">
        <v>89</v>
      </c>
      <c r="D292" t="s">
        <v>196</v>
      </c>
      <c r="E292" t="s">
        <v>214</v>
      </c>
      <c r="F292" t="s">
        <v>140</v>
      </c>
      <c r="G292">
        <v>1</v>
      </c>
      <c r="H292" s="3">
        <v>15530</v>
      </c>
      <c r="I292" s="3">
        <v>15530</v>
      </c>
      <c r="J292" t="s">
        <v>76</v>
      </c>
      <c r="K292" t="s">
        <v>83</v>
      </c>
      <c r="L292" t="str">
        <f t="shared" si="4"/>
        <v>Wednesday</v>
      </c>
    </row>
    <row r="293" spans="1:12" ht="14.25" customHeight="1" x14ac:dyDescent="0.45">
      <c r="A293" t="s">
        <v>952</v>
      </c>
      <c r="B293" s="2" t="s">
        <v>869</v>
      </c>
      <c r="C293" t="s">
        <v>96</v>
      </c>
      <c r="D293" t="s">
        <v>398</v>
      </c>
      <c r="E293" t="s">
        <v>448</v>
      </c>
      <c r="F293" t="s">
        <v>81</v>
      </c>
      <c r="G293">
        <v>1</v>
      </c>
      <c r="H293" s="3">
        <v>2260</v>
      </c>
      <c r="I293" s="3">
        <v>2260</v>
      </c>
      <c r="J293" t="s">
        <v>76</v>
      </c>
      <c r="K293" t="s">
        <v>93</v>
      </c>
      <c r="L293" t="str">
        <f t="shared" si="4"/>
        <v>Monday</v>
      </c>
    </row>
    <row r="294" spans="1:12" ht="14.25" customHeight="1" x14ac:dyDescent="0.45">
      <c r="A294" t="s">
        <v>1187</v>
      </c>
      <c r="B294" s="2" t="s">
        <v>213</v>
      </c>
      <c r="C294" t="s">
        <v>96</v>
      </c>
      <c r="D294" t="s">
        <v>472</v>
      </c>
      <c r="E294" t="s">
        <v>557</v>
      </c>
      <c r="F294" t="s">
        <v>107</v>
      </c>
      <c r="G294">
        <v>1</v>
      </c>
      <c r="H294" s="3">
        <v>1220</v>
      </c>
      <c r="I294" s="3">
        <v>1220</v>
      </c>
      <c r="J294" t="s">
        <v>76</v>
      </c>
      <c r="K294" t="s">
        <v>83</v>
      </c>
      <c r="L294" t="str">
        <f t="shared" si="4"/>
        <v>Tuesday</v>
      </c>
    </row>
    <row r="295" spans="1:12" ht="14.25" customHeight="1" x14ac:dyDescent="0.45">
      <c r="A295" t="s">
        <v>985</v>
      </c>
      <c r="B295" s="2" t="s">
        <v>376</v>
      </c>
      <c r="C295" t="s">
        <v>100</v>
      </c>
      <c r="D295" t="s">
        <v>398</v>
      </c>
      <c r="E295" t="s">
        <v>448</v>
      </c>
      <c r="F295" t="s">
        <v>140</v>
      </c>
      <c r="G295">
        <v>1</v>
      </c>
      <c r="H295" s="3">
        <v>2150</v>
      </c>
      <c r="I295" s="3">
        <v>2150</v>
      </c>
      <c r="J295" t="s">
        <v>76</v>
      </c>
      <c r="K295" t="s">
        <v>83</v>
      </c>
      <c r="L295" t="str">
        <f t="shared" si="4"/>
        <v>Friday</v>
      </c>
    </row>
    <row r="296" spans="1:12" ht="14.25" customHeight="1" x14ac:dyDescent="0.45">
      <c r="A296" t="s">
        <v>198</v>
      </c>
      <c r="B296" s="2" t="s">
        <v>88</v>
      </c>
      <c r="C296" t="s">
        <v>89</v>
      </c>
      <c r="D296" t="s">
        <v>73</v>
      </c>
      <c r="E296" t="s">
        <v>104</v>
      </c>
      <c r="F296" t="s">
        <v>107</v>
      </c>
      <c r="G296">
        <v>1</v>
      </c>
      <c r="H296" s="3">
        <v>54570</v>
      </c>
      <c r="I296" s="3">
        <v>54570</v>
      </c>
      <c r="J296" t="s">
        <v>76</v>
      </c>
      <c r="K296" t="s">
        <v>83</v>
      </c>
      <c r="L296" t="str">
        <f t="shared" si="4"/>
        <v>Wednesday</v>
      </c>
    </row>
    <row r="297" spans="1:12" ht="14.25" customHeight="1" x14ac:dyDescent="0.45">
      <c r="A297" t="s">
        <v>533</v>
      </c>
      <c r="B297" s="2" t="s">
        <v>430</v>
      </c>
      <c r="C297" t="s">
        <v>100</v>
      </c>
      <c r="D297" t="s">
        <v>73</v>
      </c>
      <c r="E297" t="s">
        <v>441</v>
      </c>
      <c r="F297" t="s">
        <v>131</v>
      </c>
      <c r="G297">
        <v>2</v>
      </c>
      <c r="H297" s="3">
        <v>2760</v>
      </c>
      <c r="I297" s="3">
        <v>5520</v>
      </c>
      <c r="J297" t="s">
        <v>76</v>
      </c>
      <c r="K297" t="s">
        <v>93</v>
      </c>
      <c r="L297" t="str">
        <f t="shared" si="4"/>
        <v>Friday</v>
      </c>
    </row>
    <row r="298" spans="1:12" ht="14.25" customHeight="1" x14ac:dyDescent="0.45">
      <c r="A298" t="s">
        <v>853</v>
      </c>
      <c r="B298" s="2" t="s">
        <v>646</v>
      </c>
      <c r="C298" t="s">
        <v>72</v>
      </c>
      <c r="D298" t="s">
        <v>73</v>
      </c>
      <c r="E298" t="s">
        <v>441</v>
      </c>
      <c r="F298" t="s">
        <v>81</v>
      </c>
      <c r="G298">
        <v>1</v>
      </c>
      <c r="H298" s="3">
        <v>2800</v>
      </c>
      <c r="I298" s="3">
        <v>2800</v>
      </c>
      <c r="J298" t="s">
        <v>76</v>
      </c>
      <c r="K298" t="s">
        <v>83</v>
      </c>
      <c r="L298" t="str">
        <f t="shared" si="4"/>
        <v>Monday</v>
      </c>
    </row>
    <row r="299" spans="1:12" ht="14.25" customHeight="1" x14ac:dyDescent="0.45">
      <c r="A299" t="s">
        <v>686</v>
      </c>
      <c r="B299" s="2" t="s">
        <v>218</v>
      </c>
      <c r="C299" t="s">
        <v>100</v>
      </c>
      <c r="D299" t="s">
        <v>334</v>
      </c>
      <c r="E299" t="s">
        <v>335</v>
      </c>
      <c r="F299" t="s">
        <v>97</v>
      </c>
      <c r="G299">
        <v>1</v>
      </c>
      <c r="H299" s="3">
        <v>3850</v>
      </c>
      <c r="I299" s="3">
        <v>3850</v>
      </c>
      <c r="J299" t="s">
        <v>82</v>
      </c>
      <c r="K299" t="s">
        <v>77</v>
      </c>
      <c r="L299" t="str">
        <f t="shared" si="4"/>
        <v>Wednesday</v>
      </c>
    </row>
    <row r="300" spans="1:12" ht="14.25" customHeight="1" x14ac:dyDescent="0.45">
      <c r="A300" t="s">
        <v>736</v>
      </c>
      <c r="B300" s="2" t="s">
        <v>537</v>
      </c>
      <c r="C300" t="s">
        <v>80</v>
      </c>
      <c r="D300" t="s">
        <v>398</v>
      </c>
      <c r="E300" t="s">
        <v>475</v>
      </c>
      <c r="F300" t="s">
        <v>131</v>
      </c>
      <c r="G300">
        <v>2</v>
      </c>
      <c r="H300" s="3">
        <v>1740</v>
      </c>
      <c r="I300" s="3">
        <v>3480</v>
      </c>
      <c r="J300" t="s">
        <v>76</v>
      </c>
      <c r="K300" t="s">
        <v>83</v>
      </c>
      <c r="L300" t="str">
        <f t="shared" si="4"/>
        <v>Sunday</v>
      </c>
    </row>
    <row r="301" spans="1:12" ht="14.25" customHeight="1" x14ac:dyDescent="0.45">
      <c r="A301" t="s">
        <v>619</v>
      </c>
      <c r="B301" s="2" t="s">
        <v>320</v>
      </c>
      <c r="C301" t="s">
        <v>72</v>
      </c>
      <c r="D301" t="s">
        <v>196</v>
      </c>
      <c r="E301" t="s">
        <v>300</v>
      </c>
      <c r="F301" t="s">
        <v>81</v>
      </c>
      <c r="G301">
        <v>1</v>
      </c>
      <c r="H301" s="3">
        <v>4340</v>
      </c>
      <c r="I301" s="3">
        <v>4340</v>
      </c>
      <c r="J301" t="s">
        <v>76</v>
      </c>
      <c r="K301" t="s">
        <v>83</v>
      </c>
      <c r="L301" t="str">
        <f t="shared" si="4"/>
        <v>Tuesday</v>
      </c>
    </row>
    <row r="302" spans="1:12" ht="14.25" customHeight="1" x14ac:dyDescent="0.45">
      <c r="A302" t="s">
        <v>370</v>
      </c>
      <c r="B302" s="2" t="s">
        <v>188</v>
      </c>
      <c r="C302" t="s">
        <v>72</v>
      </c>
      <c r="D302" t="s">
        <v>196</v>
      </c>
      <c r="E302" t="s">
        <v>214</v>
      </c>
      <c r="F302" t="s">
        <v>97</v>
      </c>
      <c r="G302">
        <v>1</v>
      </c>
      <c r="H302" s="3">
        <v>14910</v>
      </c>
      <c r="I302" s="3">
        <v>14910</v>
      </c>
      <c r="J302" t="s">
        <v>76</v>
      </c>
      <c r="K302" t="s">
        <v>83</v>
      </c>
      <c r="L302" t="str">
        <f t="shared" si="4"/>
        <v>Saturday</v>
      </c>
    </row>
    <row r="303" spans="1:12" ht="14.25" customHeight="1" x14ac:dyDescent="0.45">
      <c r="A303" t="s">
        <v>1246</v>
      </c>
      <c r="B303" s="2" t="s">
        <v>125</v>
      </c>
      <c r="C303" t="s">
        <v>89</v>
      </c>
      <c r="D303" t="s">
        <v>472</v>
      </c>
      <c r="E303" t="s">
        <v>691</v>
      </c>
      <c r="F303" t="s">
        <v>86</v>
      </c>
      <c r="G303">
        <v>1</v>
      </c>
      <c r="H303" s="3">
        <v>940</v>
      </c>
      <c r="I303" s="3">
        <v>940</v>
      </c>
      <c r="J303" t="s">
        <v>76</v>
      </c>
      <c r="K303" t="s">
        <v>83</v>
      </c>
      <c r="L303" t="str">
        <f t="shared" si="4"/>
        <v>Friday</v>
      </c>
    </row>
    <row r="304" spans="1:12" ht="14.25" customHeight="1" x14ac:dyDescent="0.45">
      <c r="A304" t="s">
        <v>330</v>
      </c>
      <c r="B304" s="2" t="s">
        <v>173</v>
      </c>
      <c r="C304" t="s">
        <v>96</v>
      </c>
      <c r="D304" t="s">
        <v>196</v>
      </c>
      <c r="E304" t="s">
        <v>214</v>
      </c>
      <c r="F304" t="s">
        <v>81</v>
      </c>
      <c r="G304">
        <v>1</v>
      </c>
      <c r="H304" s="3">
        <v>15780</v>
      </c>
      <c r="I304" s="3">
        <v>15780</v>
      </c>
      <c r="J304" t="s">
        <v>76</v>
      </c>
      <c r="K304" t="s">
        <v>93</v>
      </c>
      <c r="L304" t="str">
        <f t="shared" si="4"/>
        <v>Tuesday</v>
      </c>
    </row>
    <row r="305" spans="1:12" ht="14.25" customHeight="1" x14ac:dyDescent="0.45">
      <c r="A305" t="s">
        <v>891</v>
      </c>
      <c r="B305" s="2" t="s">
        <v>175</v>
      </c>
      <c r="C305" t="s">
        <v>100</v>
      </c>
      <c r="D305" t="s">
        <v>398</v>
      </c>
      <c r="E305" t="s">
        <v>464</v>
      </c>
      <c r="F305" t="s">
        <v>75</v>
      </c>
      <c r="G305">
        <v>1</v>
      </c>
      <c r="H305" s="3">
        <v>2510</v>
      </c>
      <c r="I305" s="3">
        <v>2510</v>
      </c>
      <c r="J305" t="s">
        <v>76</v>
      </c>
      <c r="K305" t="s">
        <v>83</v>
      </c>
      <c r="L305" t="str">
        <f t="shared" si="4"/>
        <v>Saturday</v>
      </c>
    </row>
    <row r="306" spans="1:12" ht="14.25" customHeight="1" x14ac:dyDescent="0.45">
      <c r="A306" t="s">
        <v>1212</v>
      </c>
      <c r="B306" s="2" t="s">
        <v>227</v>
      </c>
      <c r="C306" t="s">
        <v>96</v>
      </c>
      <c r="D306" t="s">
        <v>472</v>
      </c>
      <c r="E306" t="s">
        <v>557</v>
      </c>
      <c r="F306" t="s">
        <v>123</v>
      </c>
      <c r="G306">
        <v>1</v>
      </c>
      <c r="H306" s="3">
        <v>1170</v>
      </c>
      <c r="I306" s="3">
        <v>1170</v>
      </c>
      <c r="J306" t="s">
        <v>76</v>
      </c>
      <c r="K306" t="s">
        <v>83</v>
      </c>
      <c r="L306" t="str">
        <f t="shared" si="4"/>
        <v>Sunday</v>
      </c>
    </row>
    <row r="307" spans="1:12" ht="14.25" customHeight="1" x14ac:dyDescent="0.45">
      <c r="A307" t="s">
        <v>1133</v>
      </c>
      <c r="B307" s="2" t="s">
        <v>715</v>
      </c>
      <c r="C307" t="s">
        <v>96</v>
      </c>
      <c r="D307" t="s">
        <v>472</v>
      </c>
      <c r="E307" t="s">
        <v>500</v>
      </c>
      <c r="F307" t="s">
        <v>140</v>
      </c>
      <c r="G307">
        <v>1</v>
      </c>
      <c r="H307" s="3">
        <v>1550</v>
      </c>
      <c r="I307" s="3">
        <v>1550</v>
      </c>
      <c r="J307" t="s">
        <v>82</v>
      </c>
      <c r="K307" t="s">
        <v>83</v>
      </c>
      <c r="L307" t="str">
        <f t="shared" si="4"/>
        <v>Saturday</v>
      </c>
    </row>
    <row r="308" spans="1:12" ht="14.25" customHeight="1" x14ac:dyDescent="0.45">
      <c r="A308" t="s">
        <v>927</v>
      </c>
      <c r="B308" s="2" t="s">
        <v>632</v>
      </c>
      <c r="C308" t="s">
        <v>96</v>
      </c>
      <c r="D308" t="s">
        <v>472</v>
      </c>
      <c r="E308" t="s">
        <v>473</v>
      </c>
      <c r="F308" t="s">
        <v>90</v>
      </c>
      <c r="G308">
        <v>1</v>
      </c>
      <c r="H308" s="3">
        <v>2380</v>
      </c>
      <c r="I308" s="3">
        <v>2380</v>
      </c>
      <c r="J308" t="s">
        <v>76</v>
      </c>
      <c r="K308" t="s">
        <v>83</v>
      </c>
      <c r="L308" t="str">
        <f t="shared" si="4"/>
        <v>Thursday</v>
      </c>
    </row>
    <row r="309" spans="1:12" ht="14.25" customHeight="1" x14ac:dyDescent="0.45">
      <c r="A309" t="s">
        <v>714</v>
      </c>
      <c r="B309" s="2" t="s">
        <v>715</v>
      </c>
      <c r="C309" t="s">
        <v>89</v>
      </c>
      <c r="D309" t="s">
        <v>334</v>
      </c>
      <c r="E309" t="s">
        <v>527</v>
      </c>
      <c r="F309" t="s">
        <v>140</v>
      </c>
      <c r="G309">
        <v>2</v>
      </c>
      <c r="H309" s="3">
        <v>1830</v>
      </c>
      <c r="I309" s="3">
        <v>3660</v>
      </c>
      <c r="J309" t="s">
        <v>82</v>
      </c>
      <c r="K309" t="s">
        <v>83</v>
      </c>
      <c r="L309" t="str">
        <f t="shared" si="4"/>
        <v>Saturday</v>
      </c>
    </row>
    <row r="310" spans="1:12" ht="14.25" customHeight="1" x14ac:dyDescent="0.45">
      <c r="A310" t="s">
        <v>734</v>
      </c>
      <c r="B310" s="2" t="s">
        <v>244</v>
      </c>
      <c r="C310" t="s">
        <v>72</v>
      </c>
      <c r="D310" t="s">
        <v>73</v>
      </c>
      <c r="E310" t="s">
        <v>443</v>
      </c>
      <c r="F310" t="s">
        <v>97</v>
      </c>
      <c r="G310">
        <v>1</v>
      </c>
      <c r="H310" s="3">
        <v>3490</v>
      </c>
      <c r="I310" s="3">
        <v>3490</v>
      </c>
      <c r="J310" t="s">
        <v>76</v>
      </c>
      <c r="K310" t="s">
        <v>83</v>
      </c>
      <c r="L310" t="str">
        <f t="shared" si="4"/>
        <v>Thursday</v>
      </c>
    </row>
    <row r="311" spans="1:12" ht="14.25" customHeight="1" x14ac:dyDescent="0.45">
      <c r="A311" t="s">
        <v>286</v>
      </c>
      <c r="B311" s="2" t="s">
        <v>133</v>
      </c>
      <c r="C311" t="s">
        <v>80</v>
      </c>
      <c r="D311" t="s">
        <v>73</v>
      </c>
      <c r="E311" t="s">
        <v>211</v>
      </c>
      <c r="F311" t="s">
        <v>140</v>
      </c>
      <c r="G311">
        <v>2</v>
      </c>
      <c r="H311" s="3">
        <v>12030</v>
      </c>
      <c r="I311" s="3">
        <v>24060</v>
      </c>
      <c r="J311" t="s">
        <v>82</v>
      </c>
      <c r="K311" t="s">
        <v>83</v>
      </c>
      <c r="L311" t="str">
        <f t="shared" si="4"/>
        <v>Wednesday</v>
      </c>
    </row>
    <row r="312" spans="1:12" ht="14.25" customHeight="1" x14ac:dyDescent="0.45">
      <c r="A312" t="s">
        <v>1174</v>
      </c>
      <c r="B312" s="2" t="s">
        <v>359</v>
      </c>
      <c r="C312" t="s">
        <v>89</v>
      </c>
      <c r="D312" t="s">
        <v>472</v>
      </c>
      <c r="E312" t="s">
        <v>557</v>
      </c>
      <c r="F312" t="s">
        <v>117</v>
      </c>
      <c r="G312">
        <v>1</v>
      </c>
      <c r="H312" s="3">
        <v>1240</v>
      </c>
      <c r="I312" s="3">
        <v>1240</v>
      </c>
      <c r="J312" t="s">
        <v>82</v>
      </c>
      <c r="K312" t="s">
        <v>83</v>
      </c>
      <c r="L312" t="str">
        <f t="shared" si="4"/>
        <v>Sunday</v>
      </c>
    </row>
    <row r="313" spans="1:12" ht="14.25" customHeight="1" x14ac:dyDescent="0.45">
      <c r="A313" t="s">
        <v>792</v>
      </c>
      <c r="B313" s="2" t="s">
        <v>305</v>
      </c>
      <c r="C313" t="s">
        <v>96</v>
      </c>
      <c r="D313" t="s">
        <v>398</v>
      </c>
      <c r="E313" t="s">
        <v>399</v>
      </c>
      <c r="F313" t="s">
        <v>75</v>
      </c>
      <c r="G313">
        <v>1</v>
      </c>
      <c r="H313" s="3">
        <v>3150</v>
      </c>
      <c r="I313" s="3">
        <v>3150</v>
      </c>
      <c r="J313" t="s">
        <v>82</v>
      </c>
      <c r="K313" t="s">
        <v>83</v>
      </c>
      <c r="L313" t="str">
        <f t="shared" si="4"/>
        <v>Sunday</v>
      </c>
    </row>
    <row r="314" spans="1:12" ht="14.25" customHeight="1" x14ac:dyDescent="0.45">
      <c r="A314" t="s">
        <v>356</v>
      </c>
      <c r="B314" s="2" t="s">
        <v>253</v>
      </c>
      <c r="C314" t="s">
        <v>100</v>
      </c>
      <c r="D314" t="s">
        <v>196</v>
      </c>
      <c r="E314" t="s">
        <v>214</v>
      </c>
      <c r="F314" t="s">
        <v>86</v>
      </c>
      <c r="G314">
        <v>1</v>
      </c>
      <c r="H314" s="3">
        <v>15190</v>
      </c>
      <c r="I314" s="3">
        <v>15190</v>
      </c>
      <c r="J314" t="s">
        <v>76</v>
      </c>
      <c r="K314" t="s">
        <v>83</v>
      </c>
      <c r="L314" t="str">
        <f t="shared" si="4"/>
        <v>Friday</v>
      </c>
    </row>
    <row r="315" spans="1:12" ht="14.25" customHeight="1" x14ac:dyDescent="0.45">
      <c r="A315" t="s">
        <v>924</v>
      </c>
      <c r="B315" s="2" t="s">
        <v>320</v>
      </c>
      <c r="C315" t="s">
        <v>96</v>
      </c>
      <c r="D315" t="s">
        <v>472</v>
      </c>
      <c r="E315" t="s">
        <v>473</v>
      </c>
      <c r="F315" t="s">
        <v>97</v>
      </c>
      <c r="G315">
        <v>1</v>
      </c>
      <c r="H315" s="3">
        <v>2400</v>
      </c>
      <c r="I315" s="3">
        <v>2400</v>
      </c>
      <c r="J315" t="s">
        <v>82</v>
      </c>
      <c r="K315" t="s">
        <v>93</v>
      </c>
      <c r="L315" t="str">
        <f t="shared" si="4"/>
        <v>Tuesday</v>
      </c>
    </row>
    <row r="316" spans="1:12" ht="14.25" customHeight="1" x14ac:dyDescent="0.45">
      <c r="A316" t="s">
        <v>934</v>
      </c>
      <c r="B316" s="2" t="s">
        <v>264</v>
      </c>
      <c r="C316" t="s">
        <v>80</v>
      </c>
      <c r="D316" t="s">
        <v>472</v>
      </c>
      <c r="E316" t="s">
        <v>473</v>
      </c>
      <c r="F316" t="s">
        <v>131</v>
      </c>
      <c r="G316">
        <v>1</v>
      </c>
      <c r="H316" s="3">
        <v>2340</v>
      </c>
      <c r="I316" s="3">
        <v>2340</v>
      </c>
      <c r="J316" t="s">
        <v>76</v>
      </c>
      <c r="K316" t="s">
        <v>83</v>
      </c>
      <c r="L316" t="str">
        <f t="shared" si="4"/>
        <v>Monday</v>
      </c>
    </row>
    <row r="317" spans="1:12" ht="14.25" customHeight="1" x14ac:dyDescent="0.45">
      <c r="A317" t="s">
        <v>277</v>
      </c>
      <c r="B317" s="2" t="s">
        <v>278</v>
      </c>
      <c r="C317" t="s">
        <v>89</v>
      </c>
      <c r="D317" t="s">
        <v>196</v>
      </c>
      <c r="E317" t="s">
        <v>246</v>
      </c>
      <c r="F317" t="s">
        <v>86</v>
      </c>
      <c r="G317">
        <v>2</v>
      </c>
      <c r="H317" s="3">
        <v>13260</v>
      </c>
      <c r="I317" s="3">
        <v>26520</v>
      </c>
      <c r="J317" t="s">
        <v>82</v>
      </c>
      <c r="K317" t="s">
        <v>77</v>
      </c>
      <c r="L317" t="str">
        <f t="shared" si="4"/>
        <v>Wednesday</v>
      </c>
    </row>
    <row r="318" spans="1:12" ht="14.25" customHeight="1" x14ac:dyDescent="0.45">
      <c r="A318" t="s">
        <v>813</v>
      </c>
      <c r="B318" s="2" t="s">
        <v>229</v>
      </c>
      <c r="C318" t="s">
        <v>96</v>
      </c>
      <c r="D318" t="s">
        <v>398</v>
      </c>
      <c r="E318" t="s">
        <v>399</v>
      </c>
      <c r="F318" t="s">
        <v>86</v>
      </c>
      <c r="G318">
        <v>1</v>
      </c>
      <c r="H318" s="3">
        <v>3090</v>
      </c>
      <c r="I318" s="3">
        <v>3090</v>
      </c>
      <c r="J318" t="s">
        <v>76</v>
      </c>
      <c r="K318" t="s">
        <v>77</v>
      </c>
      <c r="L318" t="str">
        <f t="shared" si="4"/>
        <v>Tuesday</v>
      </c>
    </row>
    <row r="319" spans="1:12" ht="14.25" customHeight="1" x14ac:dyDescent="0.45">
      <c r="A319" t="s">
        <v>161</v>
      </c>
      <c r="B319" s="2" t="s">
        <v>162</v>
      </c>
      <c r="C319" t="s">
        <v>96</v>
      </c>
      <c r="D319" t="s">
        <v>73</v>
      </c>
      <c r="E319" t="s">
        <v>74</v>
      </c>
      <c r="F319" t="s">
        <v>81</v>
      </c>
      <c r="G319">
        <v>1</v>
      </c>
      <c r="H319" s="3">
        <v>91980</v>
      </c>
      <c r="I319" s="3">
        <v>91980</v>
      </c>
      <c r="J319" t="s">
        <v>76</v>
      </c>
      <c r="K319" t="s">
        <v>83</v>
      </c>
      <c r="L319" t="str">
        <f t="shared" si="4"/>
        <v>Sunday</v>
      </c>
    </row>
    <row r="320" spans="1:12" ht="14.25" customHeight="1" x14ac:dyDescent="0.45">
      <c r="A320" t="s">
        <v>1067</v>
      </c>
      <c r="B320" s="2" t="s">
        <v>139</v>
      </c>
      <c r="C320" t="s">
        <v>96</v>
      </c>
      <c r="D320" t="s">
        <v>472</v>
      </c>
      <c r="E320" t="s">
        <v>691</v>
      </c>
      <c r="F320" t="s">
        <v>140</v>
      </c>
      <c r="G320">
        <v>2</v>
      </c>
      <c r="H320" s="3">
        <v>910</v>
      </c>
      <c r="I320" s="3">
        <v>1820</v>
      </c>
      <c r="J320" t="s">
        <v>82</v>
      </c>
      <c r="K320" t="s">
        <v>93</v>
      </c>
      <c r="L320" t="str">
        <f t="shared" si="4"/>
        <v>Thursday</v>
      </c>
    </row>
    <row r="321" spans="1:12" ht="14.25" customHeight="1" x14ac:dyDescent="0.45">
      <c r="A321" t="s">
        <v>701</v>
      </c>
      <c r="B321" s="2" t="s">
        <v>537</v>
      </c>
      <c r="C321" t="s">
        <v>96</v>
      </c>
      <c r="D321" t="s">
        <v>334</v>
      </c>
      <c r="E321" t="s">
        <v>335</v>
      </c>
      <c r="F321" t="s">
        <v>123</v>
      </c>
      <c r="G321">
        <v>1</v>
      </c>
      <c r="H321" s="3">
        <v>3740</v>
      </c>
      <c r="I321" s="3">
        <v>3740</v>
      </c>
      <c r="J321" t="s">
        <v>76</v>
      </c>
      <c r="K321" t="s">
        <v>93</v>
      </c>
      <c r="L321" t="str">
        <f t="shared" si="4"/>
        <v>Sunday</v>
      </c>
    </row>
    <row r="322" spans="1:12" ht="14.25" customHeight="1" x14ac:dyDescent="0.45">
      <c r="A322" t="s">
        <v>178</v>
      </c>
      <c r="B322" s="2" t="s">
        <v>179</v>
      </c>
      <c r="C322" t="s">
        <v>96</v>
      </c>
      <c r="D322" t="s">
        <v>73</v>
      </c>
      <c r="E322" t="s">
        <v>101</v>
      </c>
      <c r="F322" t="s">
        <v>90</v>
      </c>
      <c r="G322">
        <v>2</v>
      </c>
      <c r="H322" s="3">
        <v>40950</v>
      </c>
      <c r="I322" s="3">
        <v>81900</v>
      </c>
      <c r="J322" t="s">
        <v>76</v>
      </c>
      <c r="K322" t="s">
        <v>93</v>
      </c>
      <c r="L322" t="str">
        <f t="shared" ref="L322:L385" si="5">TEXT(B322,"dddd")</f>
        <v>Monday</v>
      </c>
    </row>
    <row r="323" spans="1:12" ht="14.25" customHeight="1" x14ac:dyDescent="0.45">
      <c r="A323" t="s">
        <v>493</v>
      </c>
      <c r="B323" s="2" t="s">
        <v>416</v>
      </c>
      <c r="C323" t="s">
        <v>96</v>
      </c>
      <c r="D323" t="s">
        <v>398</v>
      </c>
      <c r="E323" t="s">
        <v>399</v>
      </c>
      <c r="F323" t="s">
        <v>107</v>
      </c>
      <c r="G323">
        <v>2</v>
      </c>
      <c r="H323" s="3">
        <v>3250</v>
      </c>
      <c r="I323" s="3">
        <v>6500</v>
      </c>
      <c r="J323" t="s">
        <v>76</v>
      </c>
      <c r="K323" t="s">
        <v>93</v>
      </c>
      <c r="L323" t="str">
        <f t="shared" si="5"/>
        <v>Tuesday</v>
      </c>
    </row>
    <row r="324" spans="1:12" ht="14.25" customHeight="1" x14ac:dyDescent="0.45">
      <c r="A324" t="s">
        <v>723</v>
      </c>
      <c r="B324" s="2" t="s">
        <v>99</v>
      </c>
      <c r="C324" t="s">
        <v>96</v>
      </c>
      <c r="D324" t="s">
        <v>472</v>
      </c>
      <c r="E324" t="s">
        <v>557</v>
      </c>
      <c r="F324" t="s">
        <v>81</v>
      </c>
      <c r="G324">
        <v>3</v>
      </c>
      <c r="H324" s="3">
        <v>1190</v>
      </c>
      <c r="I324" s="3">
        <v>3570</v>
      </c>
      <c r="J324" t="s">
        <v>82</v>
      </c>
      <c r="K324" t="s">
        <v>83</v>
      </c>
      <c r="L324" t="str">
        <f t="shared" si="5"/>
        <v>Saturday</v>
      </c>
    </row>
    <row r="325" spans="1:12" ht="14.25" customHeight="1" x14ac:dyDescent="0.45">
      <c r="A325" t="s">
        <v>1140</v>
      </c>
      <c r="B325" s="2" t="s">
        <v>648</v>
      </c>
      <c r="C325" t="s">
        <v>100</v>
      </c>
      <c r="D325" t="s">
        <v>334</v>
      </c>
      <c r="E325" t="s">
        <v>515</v>
      </c>
      <c r="F325" t="s">
        <v>75</v>
      </c>
      <c r="G325">
        <v>1</v>
      </c>
      <c r="H325" s="3">
        <v>1540</v>
      </c>
      <c r="I325" s="3">
        <v>1540</v>
      </c>
      <c r="J325" t="s">
        <v>82</v>
      </c>
      <c r="K325" t="s">
        <v>83</v>
      </c>
      <c r="L325" t="str">
        <f t="shared" si="5"/>
        <v>Monday</v>
      </c>
    </row>
    <row r="326" spans="1:12" ht="14.25" customHeight="1" x14ac:dyDescent="0.45">
      <c r="A326" t="s">
        <v>674</v>
      </c>
      <c r="B326" s="2" t="s">
        <v>585</v>
      </c>
      <c r="C326" t="s">
        <v>100</v>
      </c>
      <c r="D326" t="s">
        <v>334</v>
      </c>
      <c r="E326" t="s">
        <v>335</v>
      </c>
      <c r="F326" t="s">
        <v>117</v>
      </c>
      <c r="G326">
        <v>1</v>
      </c>
      <c r="H326" s="3">
        <v>3950</v>
      </c>
      <c r="I326" s="3">
        <v>3950</v>
      </c>
      <c r="J326" t="s">
        <v>82</v>
      </c>
      <c r="K326" t="s">
        <v>83</v>
      </c>
      <c r="L326" t="str">
        <f t="shared" si="5"/>
        <v>Saturday</v>
      </c>
    </row>
    <row r="327" spans="1:12" ht="14.25" customHeight="1" x14ac:dyDescent="0.45">
      <c r="A327" t="s">
        <v>371</v>
      </c>
      <c r="B327" s="2" t="s">
        <v>183</v>
      </c>
      <c r="C327" t="s">
        <v>89</v>
      </c>
      <c r="D327" t="s">
        <v>196</v>
      </c>
      <c r="E327" t="s">
        <v>214</v>
      </c>
      <c r="F327" t="s">
        <v>107</v>
      </c>
      <c r="G327">
        <v>1</v>
      </c>
      <c r="H327" s="3">
        <v>14910</v>
      </c>
      <c r="I327" s="3">
        <v>14910</v>
      </c>
      <c r="J327" t="s">
        <v>76</v>
      </c>
      <c r="K327" t="s">
        <v>83</v>
      </c>
      <c r="L327" t="str">
        <f t="shared" si="5"/>
        <v>Sunday</v>
      </c>
    </row>
    <row r="328" spans="1:12" ht="14.25" customHeight="1" x14ac:dyDescent="0.45">
      <c r="A328" t="s">
        <v>911</v>
      </c>
      <c r="B328" s="2" t="s">
        <v>354</v>
      </c>
      <c r="C328" t="s">
        <v>89</v>
      </c>
      <c r="D328" t="s">
        <v>472</v>
      </c>
      <c r="E328" t="s">
        <v>473</v>
      </c>
      <c r="F328" t="s">
        <v>140</v>
      </c>
      <c r="G328">
        <v>1</v>
      </c>
      <c r="H328" s="3">
        <v>2440</v>
      </c>
      <c r="I328" s="3">
        <v>2440</v>
      </c>
      <c r="J328" t="s">
        <v>82</v>
      </c>
      <c r="K328" t="s">
        <v>83</v>
      </c>
      <c r="L328" t="str">
        <f t="shared" si="5"/>
        <v>Thursday</v>
      </c>
    </row>
    <row r="329" spans="1:12" ht="14.25" customHeight="1" x14ac:dyDescent="0.45">
      <c r="A329" t="s">
        <v>403</v>
      </c>
      <c r="B329" s="2" t="s">
        <v>404</v>
      </c>
      <c r="C329" t="s">
        <v>72</v>
      </c>
      <c r="D329" t="s">
        <v>334</v>
      </c>
      <c r="E329" t="s">
        <v>402</v>
      </c>
      <c r="F329" t="s">
        <v>117</v>
      </c>
      <c r="G329">
        <v>3</v>
      </c>
      <c r="H329" s="3">
        <v>4110</v>
      </c>
      <c r="I329" s="3">
        <v>12330</v>
      </c>
      <c r="J329" t="s">
        <v>82</v>
      </c>
      <c r="K329" t="s">
        <v>93</v>
      </c>
      <c r="L329" t="str">
        <f t="shared" si="5"/>
        <v>Thursday</v>
      </c>
    </row>
    <row r="330" spans="1:12" ht="14.25" customHeight="1" x14ac:dyDescent="0.45">
      <c r="A330" t="s">
        <v>653</v>
      </c>
      <c r="B330" s="2" t="s">
        <v>186</v>
      </c>
      <c r="C330" t="s">
        <v>96</v>
      </c>
      <c r="D330" t="s">
        <v>334</v>
      </c>
      <c r="E330" t="s">
        <v>402</v>
      </c>
      <c r="F330" t="s">
        <v>81</v>
      </c>
      <c r="G330">
        <v>1</v>
      </c>
      <c r="H330" s="3">
        <v>4180</v>
      </c>
      <c r="I330" s="3">
        <v>4180</v>
      </c>
      <c r="J330" t="s">
        <v>76</v>
      </c>
      <c r="K330" t="s">
        <v>83</v>
      </c>
      <c r="L330" t="str">
        <f t="shared" si="5"/>
        <v>Thursday</v>
      </c>
    </row>
    <row r="331" spans="1:12" ht="14.25" customHeight="1" x14ac:dyDescent="0.45">
      <c r="A331" t="s">
        <v>706</v>
      </c>
      <c r="B331" s="2" t="s">
        <v>309</v>
      </c>
      <c r="C331" t="s">
        <v>96</v>
      </c>
      <c r="D331" t="s">
        <v>398</v>
      </c>
      <c r="E331" t="s">
        <v>475</v>
      </c>
      <c r="F331" t="s">
        <v>86</v>
      </c>
      <c r="G331">
        <v>2</v>
      </c>
      <c r="H331" s="3">
        <v>1860</v>
      </c>
      <c r="I331" s="3">
        <v>3720</v>
      </c>
      <c r="J331" t="s">
        <v>76</v>
      </c>
      <c r="K331" t="s">
        <v>77</v>
      </c>
      <c r="L331" t="str">
        <f t="shared" si="5"/>
        <v>Sunday</v>
      </c>
    </row>
    <row r="332" spans="1:12" ht="14.25" customHeight="1" x14ac:dyDescent="0.45">
      <c r="A332" t="s">
        <v>707</v>
      </c>
      <c r="B332" s="2" t="s">
        <v>414</v>
      </c>
      <c r="C332" t="s">
        <v>89</v>
      </c>
      <c r="D332" t="s">
        <v>334</v>
      </c>
      <c r="E332" t="s">
        <v>527</v>
      </c>
      <c r="F332" t="s">
        <v>81</v>
      </c>
      <c r="G332">
        <v>2</v>
      </c>
      <c r="H332" s="3">
        <v>1860</v>
      </c>
      <c r="I332" s="3">
        <v>3720</v>
      </c>
      <c r="J332" t="s">
        <v>76</v>
      </c>
      <c r="K332" t="s">
        <v>83</v>
      </c>
      <c r="L332" t="str">
        <f t="shared" si="5"/>
        <v>Friday</v>
      </c>
    </row>
    <row r="333" spans="1:12" ht="14.25" customHeight="1" x14ac:dyDescent="0.45">
      <c r="A333" t="s">
        <v>1036</v>
      </c>
      <c r="B333" s="2" t="s">
        <v>337</v>
      </c>
      <c r="C333" t="s">
        <v>80</v>
      </c>
      <c r="D333" t="s">
        <v>334</v>
      </c>
      <c r="E333" t="s">
        <v>527</v>
      </c>
      <c r="F333" t="s">
        <v>97</v>
      </c>
      <c r="G333">
        <v>1</v>
      </c>
      <c r="H333" s="3">
        <v>1890</v>
      </c>
      <c r="I333" s="3">
        <v>1890</v>
      </c>
      <c r="J333" t="s">
        <v>76</v>
      </c>
      <c r="K333" t="s">
        <v>93</v>
      </c>
      <c r="L333" t="str">
        <f t="shared" si="5"/>
        <v>Monday</v>
      </c>
    </row>
    <row r="334" spans="1:12" ht="14.25" customHeight="1" x14ac:dyDescent="0.45">
      <c r="A334" t="s">
        <v>1201</v>
      </c>
      <c r="B334" s="2" t="s">
        <v>389</v>
      </c>
      <c r="C334" t="s">
        <v>96</v>
      </c>
      <c r="D334" t="s">
        <v>472</v>
      </c>
      <c r="E334" t="s">
        <v>557</v>
      </c>
      <c r="F334" t="s">
        <v>140</v>
      </c>
      <c r="G334">
        <v>1</v>
      </c>
      <c r="H334" s="3">
        <v>1200</v>
      </c>
      <c r="I334" s="3">
        <v>1200</v>
      </c>
      <c r="J334" t="s">
        <v>82</v>
      </c>
      <c r="K334" t="s">
        <v>93</v>
      </c>
      <c r="L334" t="str">
        <f t="shared" si="5"/>
        <v>Tuesday</v>
      </c>
    </row>
    <row r="335" spans="1:12" ht="14.25" customHeight="1" x14ac:dyDescent="0.45">
      <c r="A335" t="s">
        <v>368</v>
      </c>
      <c r="B335" s="2" t="s">
        <v>369</v>
      </c>
      <c r="C335" t="s">
        <v>100</v>
      </c>
      <c r="D335" t="s">
        <v>196</v>
      </c>
      <c r="E335" t="s">
        <v>214</v>
      </c>
      <c r="F335" t="s">
        <v>75</v>
      </c>
      <c r="G335">
        <v>1</v>
      </c>
      <c r="H335" s="3">
        <v>14950</v>
      </c>
      <c r="I335" s="3">
        <v>14950</v>
      </c>
      <c r="J335" t="s">
        <v>76</v>
      </c>
      <c r="K335" t="s">
        <v>83</v>
      </c>
      <c r="L335" t="str">
        <f t="shared" si="5"/>
        <v>Monday</v>
      </c>
    </row>
    <row r="336" spans="1:12" ht="14.25" customHeight="1" x14ac:dyDescent="0.45">
      <c r="A336" t="s">
        <v>1102</v>
      </c>
      <c r="B336" s="2" t="s">
        <v>526</v>
      </c>
      <c r="C336" t="s">
        <v>80</v>
      </c>
      <c r="D336" t="s">
        <v>472</v>
      </c>
      <c r="E336" t="s">
        <v>500</v>
      </c>
      <c r="F336" t="s">
        <v>131</v>
      </c>
      <c r="G336">
        <v>1</v>
      </c>
      <c r="H336" s="3">
        <v>1640</v>
      </c>
      <c r="I336" s="3">
        <v>1640</v>
      </c>
      <c r="J336" t="s">
        <v>82</v>
      </c>
      <c r="K336" t="s">
        <v>93</v>
      </c>
      <c r="L336" t="str">
        <f t="shared" si="5"/>
        <v>Sunday</v>
      </c>
    </row>
    <row r="337" spans="1:12" ht="14.25" customHeight="1" x14ac:dyDescent="0.45">
      <c r="A337" t="s">
        <v>1127</v>
      </c>
      <c r="B337" s="2" t="s">
        <v>693</v>
      </c>
      <c r="C337" t="s">
        <v>96</v>
      </c>
      <c r="D337" t="s">
        <v>472</v>
      </c>
      <c r="E337" t="s">
        <v>500</v>
      </c>
      <c r="F337" t="s">
        <v>81</v>
      </c>
      <c r="G337">
        <v>1</v>
      </c>
      <c r="H337" s="3">
        <v>1560</v>
      </c>
      <c r="I337" s="3">
        <v>1560</v>
      </c>
      <c r="J337" t="s">
        <v>76</v>
      </c>
      <c r="K337" t="s">
        <v>83</v>
      </c>
      <c r="L337" t="str">
        <f t="shared" si="5"/>
        <v>Friday</v>
      </c>
    </row>
    <row r="338" spans="1:12" ht="14.25" customHeight="1" x14ac:dyDescent="0.45">
      <c r="A338" t="s">
        <v>620</v>
      </c>
      <c r="B338" s="2" t="s">
        <v>303</v>
      </c>
      <c r="C338" t="s">
        <v>100</v>
      </c>
      <c r="D338" t="s">
        <v>196</v>
      </c>
      <c r="E338" t="s">
        <v>300</v>
      </c>
      <c r="F338" t="s">
        <v>97</v>
      </c>
      <c r="G338">
        <v>1</v>
      </c>
      <c r="H338" s="3">
        <v>4340</v>
      </c>
      <c r="I338" s="3">
        <v>4340</v>
      </c>
      <c r="J338" t="s">
        <v>76</v>
      </c>
      <c r="K338" t="s">
        <v>83</v>
      </c>
      <c r="L338" t="str">
        <f t="shared" si="5"/>
        <v>Tuesday</v>
      </c>
    </row>
    <row r="339" spans="1:12" ht="14.25" customHeight="1" x14ac:dyDescent="0.45">
      <c r="A339" t="s">
        <v>866</v>
      </c>
      <c r="B339" s="2" t="s">
        <v>119</v>
      </c>
      <c r="C339" t="s">
        <v>96</v>
      </c>
      <c r="D339" t="s">
        <v>398</v>
      </c>
      <c r="E339" t="s">
        <v>464</v>
      </c>
      <c r="F339" t="s">
        <v>107</v>
      </c>
      <c r="G339">
        <v>1</v>
      </c>
      <c r="H339" s="3">
        <v>2670</v>
      </c>
      <c r="I339" s="3">
        <v>2670</v>
      </c>
      <c r="J339" t="s">
        <v>76</v>
      </c>
      <c r="K339" t="s">
        <v>83</v>
      </c>
      <c r="L339" t="str">
        <f t="shared" si="5"/>
        <v>Tuesday</v>
      </c>
    </row>
    <row r="340" spans="1:12" ht="14.25" customHeight="1" x14ac:dyDescent="0.45">
      <c r="A340" t="s">
        <v>988</v>
      </c>
      <c r="B340" s="2" t="s">
        <v>142</v>
      </c>
      <c r="C340" t="s">
        <v>72</v>
      </c>
      <c r="D340" t="s">
        <v>398</v>
      </c>
      <c r="E340" t="s">
        <v>448</v>
      </c>
      <c r="F340" t="s">
        <v>131</v>
      </c>
      <c r="G340">
        <v>1</v>
      </c>
      <c r="H340" s="3">
        <v>2130</v>
      </c>
      <c r="I340" s="3">
        <v>2130</v>
      </c>
      <c r="J340" t="s">
        <v>82</v>
      </c>
      <c r="K340" t="s">
        <v>77</v>
      </c>
      <c r="L340" t="str">
        <f t="shared" si="5"/>
        <v>Friday</v>
      </c>
    </row>
    <row r="341" spans="1:12" ht="14.25" customHeight="1" x14ac:dyDescent="0.45">
      <c r="A341" t="s">
        <v>898</v>
      </c>
      <c r="B341" s="2" t="s">
        <v>350</v>
      </c>
      <c r="C341" t="s">
        <v>72</v>
      </c>
      <c r="D341" t="s">
        <v>472</v>
      </c>
      <c r="E341" t="s">
        <v>473</v>
      </c>
      <c r="F341" t="s">
        <v>123</v>
      </c>
      <c r="G341">
        <v>1</v>
      </c>
      <c r="H341" s="3">
        <v>2480</v>
      </c>
      <c r="I341" s="3">
        <v>2480</v>
      </c>
      <c r="J341" t="s">
        <v>76</v>
      </c>
      <c r="K341" t="s">
        <v>77</v>
      </c>
      <c r="L341" t="str">
        <f t="shared" si="5"/>
        <v>Tuesday</v>
      </c>
    </row>
    <row r="342" spans="1:12" ht="14.25" customHeight="1" x14ac:dyDescent="0.45">
      <c r="A342" t="s">
        <v>126</v>
      </c>
      <c r="B342" s="2" t="s">
        <v>127</v>
      </c>
      <c r="C342" t="s">
        <v>100</v>
      </c>
      <c r="D342" t="s">
        <v>73</v>
      </c>
      <c r="E342" t="s">
        <v>104</v>
      </c>
      <c r="F342" t="s">
        <v>75</v>
      </c>
      <c r="G342">
        <v>2</v>
      </c>
      <c r="H342" s="3">
        <v>54570</v>
      </c>
      <c r="I342" s="3">
        <v>109140</v>
      </c>
      <c r="J342" t="s">
        <v>76</v>
      </c>
      <c r="K342" t="s">
        <v>93</v>
      </c>
      <c r="L342" t="str">
        <f t="shared" si="5"/>
        <v>Saturday</v>
      </c>
    </row>
    <row r="343" spans="1:12" ht="14.25" customHeight="1" x14ac:dyDescent="0.45">
      <c r="A343" t="s">
        <v>501</v>
      </c>
      <c r="B343" s="2" t="s">
        <v>502</v>
      </c>
      <c r="C343" t="s">
        <v>100</v>
      </c>
      <c r="D343" t="s">
        <v>398</v>
      </c>
      <c r="E343" t="s">
        <v>462</v>
      </c>
      <c r="F343" t="s">
        <v>123</v>
      </c>
      <c r="G343">
        <v>3</v>
      </c>
      <c r="H343" s="3">
        <v>2130</v>
      </c>
      <c r="I343" s="3">
        <v>6390</v>
      </c>
      <c r="J343" t="s">
        <v>76</v>
      </c>
      <c r="K343" t="s">
        <v>77</v>
      </c>
      <c r="L343" t="str">
        <f t="shared" si="5"/>
        <v>Sunday</v>
      </c>
    </row>
    <row r="344" spans="1:12" ht="14.25" customHeight="1" x14ac:dyDescent="0.45">
      <c r="A344" t="s">
        <v>1090</v>
      </c>
      <c r="B344" s="2" t="s">
        <v>455</v>
      </c>
      <c r="C344" t="s">
        <v>96</v>
      </c>
      <c r="D344" t="s">
        <v>398</v>
      </c>
      <c r="E344" t="s">
        <v>475</v>
      </c>
      <c r="F344" t="s">
        <v>97</v>
      </c>
      <c r="G344">
        <v>1</v>
      </c>
      <c r="H344" s="3">
        <v>1750</v>
      </c>
      <c r="I344" s="3">
        <v>1750</v>
      </c>
      <c r="J344" t="s">
        <v>82</v>
      </c>
      <c r="K344" t="s">
        <v>83</v>
      </c>
      <c r="L344" t="str">
        <f t="shared" si="5"/>
        <v>Thursday</v>
      </c>
    </row>
    <row r="345" spans="1:12" ht="14.25" customHeight="1" x14ac:dyDescent="0.45">
      <c r="A345" t="s">
        <v>1050</v>
      </c>
      <c r="B345" s="2" t="s">
        <v>234</v>
      </c>
      <c r="C345" t="s">
        <v>96</v>
      </c>
      <c r="D345" t="s">
        <v>398</v>
      </c>
      <c r="E345" t="s">
        <v>475</v>
      </c>
      <c r="F345" t="s">
        <v>140</v>
      </c>
      <c r="G345">
        <v>1</v>
      </c>
      <c r="H345" s="3">
        <v>1860</v>
      </c>
      <c r="I345" s="3">
        <v>1860</v>
      </c>
      <c r="J345" t="s">
        <v>82</v>
      </c>
      <c r="K345" t="s">
        <v>93</v>
      </c>
      <c r="L345" t="str">
        <f t="shared" si="5"/>
        <v>Monday</v>
      </c>
    </row>
    <row r="346" spans="1:12" ht="14.25" customHeight="1" x14ac:dyDescent="0.45">
      <c r="A346" t="s">
        <v>757</v>
      </c>
      <c r="B346" s="2" t="s">
        <v>229</v>
      </c>
      <c r="C346" t="s">
        <v>96</v>
      </c>
      <c r="D346" t="s">
        <v>398</v>
      </c>
      <c r="E346" t="s">
        <v>399</v>
      </c>
      <c r="F346" t="s">
        <v>90</v>
      </c>
      <c r="G346">
        <v>1</v>
      </c>
      <c r="H346" s="3">
        <v>3230</v>
      </c>
      <c r="I346" s="3">
        <v>3230</v>
      </c>
      <c r="J346" t="s">
        <v>82</v>
      </c>
      <c r="K346" t="s">
        <v>77</v>
      </c>
      <c r="L346" t="str">
        <f t="shared" si="5"/>
        <v>Tuesday</v>
      </c>
    </row>
    <row r="347" spans="1:12" ht="14.25" customHeight="1" x14ac:dyDescent="0.45">
      <c r="A347" t="s">
        <v>606</v>
      </c>
      <c r="B347" s="2" t="s">
        <v>607</v>
      </c>
      <c r="C347" t="s">
        <v>89</v>
      </c>
      <c r="D347" t="s">
        <v>196</v>
      </c>
      <c r="E347" t="s">
        <v>300</v>
      </c>
      <c r="F347" t="s">
        <v>123</v>
      </c>
      <c r="G347">
        <v>1</v>
      </c>
      <c r="H347" s="3">
        <v>4400</v>
      </c>
      <c r="I347" s="3">
        <v>4400</v>
      </c>
      <c r="J347" t="s">
        <v>76</v>
      </c>
      <c r="K347" t="s">
        <v>83</v>
      </c>
      <c r="L347" t="str">
        <f t="shared" si="5"/>
        <v>Saturday</v>
      </c>
    </row>
    <row r="348" spans="1:12" ht="14.25" customHeight="1" x14ac:dyDescent="0.45">
      <c r="A348" t="s">
        <v>466</v>
      </c>
      <c r="B348" s="2" t="s">
        <v>467</v>
      </c>
      <c r="C348" t="s">
        <v>89</v>
      </c>
      <c r="D348" t="s">
        <v>334</v>
      </c>
      <c r="E348" t="s">
        <v>335</v>
      </c>
      <c r="F348" t="s">
        <v>81</v>
      </c>
      <c r="G348">
        <v>2</v>
      </c>
      <c r="H348" s="3">
        <v>3940</v>
      </c>
      <c r="I348" s="3">
        <v>7880</v>
      </c>
      <c r="J348" t="s">
        <v>76</v>
      </c>
      <c r="K348" t="s">
        <v>83</v>
      </c>
      <c r="L348" t="str">
        <f t="shared" si="5"/>
        <v>Thursday</v>
      </c>
    </row>
    <row r="349" spans="1:12" ht="14.25" customHeight="1" x14ac:dyDescent="0.45">
      <c r="A349" t="s">
        <v>560</v>
      </c>
      <c r="B349" s="2" t="s">
        <v>115</v>
      </c>
      <c r="C349" t="s">
        <v>96</v>
      </c>
      <c r="D349" t="s">
        <v>472</v>
      </c>
      <c r="E349" t="s">
        <v>473</v>
      </c>
      <c r="F349" t="s">
        <v>86</v>
      </c>
      <c r="G349">
        <v>2</v>
      </c>
      <c r="H349" s="3">
        <v>2360</v>
      </c>
      <c r="I349" s="3">
        <v>4720</v>
      </c>
      <c r="J349" t="s">
        <v>82</v>
      </c>
      <c r="K349" t="s">
        <v>83</v>
      </c>
      <c r="L349" t="str">
        <f t="shared" si="5"/>
        <v>Friday</v>
      </c>
    </row>
    <row r="350" spans="1:12" ht="14.25" customHeight="1" x14ac:dyDescent="0.45">
      <c r="A350" t="s">
        <v>700</v>
      </c>
      <c r="B350" s="2" t="s">
        <v>365</v>
      </c>
      <c r="C350" t="s">
        <v>89</v>
      </c>
      <c r="D350" t="s">
        <v>334</v>
      </c>
      <c r="E350" t="s">
        <v>335</v>
      </c>
      <c r="F350" t="s">
        <v>81</v>
      </c>
      <c r="G350">
        <v>1</v>
      </c>
      <c r="H350" s="3">
        <v>3760</v>
      </c>
      <c r="I350" s="3">
        <v>3760</v>
      </c>
      <c r="J350" t="s">
        <v>76</v>
      </c>
      <c r="K350" t="s">
        <v>83</v>
      </c>
      <c r="L350" t="str">
        <f t="shared" si="5"/>
        <v>Friday</v>
      </c>
    </row>
    <row r="351" spans="1:12" ht="14.25" customHeight="1" x14ac:dyDescent="0.45">
      <c r="A351" t="s">
        <v>1110</v>
      </c>
      <c r="B351" s="2" t="s">
        <v>206</v>
      </c>
      <c r="C351" t="s">
        <v>96</v>
      </c>
      <c r="D351" t="s">
        <v>472</v>
      </c>
      <c r="E351" t="s">
        <v>500</v>
      </c>
      <c r="F351" t="s">
        <v>140</v>
      </c>
      <c r="G351">
        <v>1</v>
      </c>
      <c r="H351" s="3">
        <v>1620</v>
      </c>
      <c r="I351" s="3">
        <v>1620</v>
      </c>
      <c r="J351" t="s">
        <v>76</v>
      </c>
      <c r="K351" t="s">
        <v>77</v>
      </c>
      <c r="L351" t="str">
        <f t="shared" si="5"/>
        <v>Wednesday</v>
      </c>
    </row>
    <row r="352" spans="1:12" ht="14.25" customHeight="1" x14ac:dyDescent="0.45">
      <c r="A352" t="s">
        <v>883</v>
      </c>
      <c r="B352" s="2" t="s">
        <v>656</v>
      </c>
      <c r="C352" t="s">
        <v>80</v>
      </c>
      <c r="D352" t="s">
        <v>398</v>
      </c>
      <c r="E352" t="s">
        <v>464</v>
      </c>
      <c r="F352" t="s">
        <v>107</v>
      </c>
      <c r="G352">
        <v>1</v>
      </c>
      <c r="H352" s="3">
        <v>2570</v>
      </c>
      <c r="I352" s="3">
        <v>2570</v>
      </c>
      <c r="J352" t="s">
        <v>82</v>
      </c>
      <c r="K352" t="s">
        <v>77</v>
      </c>
      <c r="L352" t="str">
        <f t="shared" si="5"/>
        <v>Sunday</v>
      </c>
    </row>
    <row r="353" spans="1:12" ht="14.25" customHeight="1" x14ac:dyDescent="0.45">
      <c r="A353" t="s">
        <v>547</v>
      </c>
      <c r="B353" s="2" t="s">
        <v>249</v>
      </c>
      <c r="C353" t="s">
        <v>96</v>
      </c>
      <c r="D353" t="s">
        <v>398</v>
      </c>
      <c r="E353" t="s">
        <v>464</v>
      </c>
      <c r="F353" t="s">
        <v>123</v>
      </c>
      <c r="G353">
        <v>2</v>
      </c>
      <c r="H353" s="3">
        <v>2520</v>
      </c>
      <c r="I353" s="3">
        <v>5040</v>
      </c>
      <c r="J353" t="s">
        <v>76</v>
      </c>
      <c r="K353" t="s">
        <v>83</v>
      </c>
      <c r="L353" t="str">
        <f t="shared" si="5"/>
        <v>Thursday</v>
      </c>
    </row>
    <row r="354" spans="1:12" ht="14.25" customHeight="1" x14ac:dyDescent="0.45">
      <c r="A354" t="s">
        <v>476</v>
      </c>
      <c r="B354" s="2" t="s">
        <v>369</v>
      </c>
      <c r="C354" t="s">
        <v>89</v>
      </c>
      <c r="D354" t="s">
        <v>334</v>
      </c>
      <c r="E354" t="s">
        <v>335</v>
      </c>
      <c r="F354" t="s">
        <v>97</v>
      </c>
      <c r="G354">
        <v>2</v>
      </c>
      <c r="H354" s="3">
        <v>3690</v>
      </c>
      <c r="I354" s="3">
        <v>7380</v>
      </c>
      <c r="J354" t="s">
        <v>82</v>
      </c>
      <c r="K354" t="s">
        <v>83</v>
      </c>
      <c r="L354" t="str">
        <f t="shared" si="5"/>
        <v>Monday</v>
      </c>
    </row>
    <row r="355" spans="1:12" ht="14.25" customHeight="1" x14ac:dyDescent="0.45">
      <c r="A355" t="s">
        <v>1155</v>
      </c>
      <c r="B355" s="2" t="s">
        <v>204</v>
      </c>
      <c r="C355" t="s">
        <v>89</v>
      </c>
      <c r="D355" t="s">
        <v>334</v>
      </c>
      <c r="E355" t="s">
        <v>515</v>
      </c>
      <c r="F355" t="s">
        <v>117</v>
      </c>
      <c r="G355">
        <v>1</v>
      </c>
      <c r="H355" s="3">
        <v>1490</v>
      </c>
      <c r="I355" s="3">
        <v>1490</v>
      </c>
      <c r="J355" t="s">
        <v>82</v>
      </c>
      <c r="K355" t="s">
        <v>93</v>
      </c>
      <c r="L355" t="str">
        <f t="shared" si="5"/>
        <v>Monday</v>
      </c>
    </row>
    <row r="356" spans="1:12" ht="14.25" customHeight="1" x14ac:dyDescent="0.45">
      <c r="A356" t="s">
        <v>549</v>
      </c>
      <c r="B356" s="2" t="s">
        <v>550</v>
      </c>
      <c r="C356" t="s">
        <v>89</v>
      </c>
      <c r="D356" t="s">
        <v>398</v>
      </c>
      <c r="E356" t="s">
        <v>464</v>
      </c>
      <c r="F356" t="s">
        <v>81</v>
      </c>
      <c r="G356">
        <v>2</v>
      </c>
      <c r="H356" s="3">
        <v>2510</v>
      </c>
      <c r="I356" s="3">
        <v>5020</v>
      </c>
      <c r="J356" t="s">
        <v>82</v>
      </c>
      <c r="K356" t="s">
        <v>83</v>
      </c>
      <c r="L356" t="str">
        <f t="shared" si="5"/>
        <v>Thursday</v>
      </c>
    </row>
    <row r="357" spans="1:12" ht="14.25" customHeight="1" x14ac:dyDescent="0.45">
      <c r="A357" t="s">
        <v>378</v>
      </c>
      <c r="B357" s="2" t="s">
        <v>125</v>
      </c>
      <c r="C357" t="s">
        <v>89</v>
      </c>
      <c r="D357" t="s">
        <v>196</v>
      </c>
      <c r="E357" t="s">
        <v>246</v>
      </c>
      <c r="F357" t="s">
        <v>107</v>
      </c>
      <c r="G357">
        <v>1</v>
      </c>
      <c r="H357" s="3">
        <v>13700</v>
      </c>
      <c r="I357" s="3">
        <v>13700</v>
      </c>
      <c r="J357" t="s">
        <v>76</v>
      </c>
      <c r="K357" t="s">
        <v>77</v>
      </c>
      <c r="L357" t="str">
        <f t="shared" si="5"/>
        <v>Friday</v>
      </c>
    </row>
    <row r="358" spans="1:12" ht="14.25" customHeight="1" x14ac:dyDescent="0.45">
      <c r="A358" t="s">
        <v>319</v>
      </c>
      <c r="B358" s="2" t="s">
        <v>320</v>
      </c>
      <c r="C358" t="s">
        <v>72</v>
      </c>
      <c r="D358" t="s">
        <v>196</v>
      </c>
      <c r="E358" t="s">
        <v>197</v>
      </c>
      <c r="F358" t="s">
        <v>131</v>
      </c>
      <c r="G358">
        <v>1</v>
      </c>
      <c r="H358" s="3">
        <v>17900</v>
      </c>
      <c r="I358" s="3">
        <v>17900</v>
      </c>
      <c r="J358" t="s">
        <v>76</v>
      </c>
      <c r="K358" t="s">
        <v>83</v>
      </c>
      <c r="L358" t="str">
        <f t="shared" si="5"/>
        <v>Tuesday</v>
      </c>
    </row>
    <row r="359" spans="1:12" ht="14.25" customHeight="1" x14ac:dyDescent="0.45">
      <c r="A359" t="s">
        <v>1120</v>
      </c>
      <c r="B359" s="2" t="s">
        <v>919</v>
      </c>
      <c r="C359" t="s">
        <v>96</v>
      </c>
      <c r="D359" t="s">
        <v>472</v>
      </c>
      <c r="E359" t="s">
        <v>500</v>
      </c>
      <c r="F359" t="s">
        <v>90</v>
      </c>
      <c r="G359">
        <v>1</v>
      </c>
      <c r="H359" s="3">
        <v>1590</v>
      </c>
      <c r="I359" s="3">
        <v>1590</v>
      </c>
      <c r="J359" t="s">
        <v>76</v>
      </c>
      <c r="K359" t="s">
        <v>77</v>
      </c>
      <c r="L359" t="str">
        <f t="shared" si="5"/>
        <v>Saturday</v>
      </c>
    </row>
    <row r="360" spans="1:12" ht="14.25" customHeight="1" x14ac:dyDescent="0.45">
      <c r="A360" t="s">
        <v>362</v>
      </c>
      <c r="B360" s="2" t="s">
        <v>363</v>
      </c>
      <c r="C360" t="s">
        <v>96</v>
      </c>
      <c r="D360" t="s">
        <v>196</v>
      </c>
      <c r="E360" t="s">
        <v>214</v>
      </c>
      <c r="F360" t="s">
        <v>90</v>
      </c>
      <c r="G360">
        <v>1</v>
      </c>
      <c r="H360" s="3">
        <v>15050</v>
      </c>
      <c r="I360" s="3">
        <v>15050</v>
      </c>
      <c r="J360" t="s">
        <v>76</v>
      </c>
      <c r="K360" t="s">
        <v>83</v>
      </c>
      <c r="L360" t="str">
        <f t="shared" si="5"/>
        <v>Sunday</v>
      </c>
    </row>
    <row r="361" spans="1:12" ht="14.25" customHeight="1" x14ac:dyDescent="0.45">
      <c r="A361" t="s">
        <v>243</v>
      </c>
      <c r="B361" s="2" t="s">
        <v>244</v>
      </c>
      <c r="C361" t="s">
        <v>89</v>
      </c>
      <c r="D361" t="s">
        <v>73</v>
      </c>
      <c r="E361" t="s">
        <v>101</v>
      </c>
      <c r="F361" t="s">
        <v>131</v>
      </c>
      <c r="G361">
        <v>1</v>
      </c>
      <c r="H361" s="3">
        <v>40630</v>
      </c>
      <c r="I361" s="3">
        <v>40630</v>
      </c>
      <c r="J361" t="s">
        <v>76</v>
      </c>
      <c r="K361" t="s">
        <v>77</v>
      </c>
      <c r="L361" t="str">
        <f t="shared" si="5"/>
        <v>Thursday</v>
      </c>
    </row>
    <row r="362" spans="1:12" ht="14.25" customHeight="1" x14ac:dyDescent="0.45">
      <c r="A362" t="s">
        <v>645</v>
      </c>
      <c r="B362" s="2" t="s">
        <v>646</v>
      </c>
      <c r="C362" t="s">
        <v>80</v>
      </c>
      <c r="D362" t="s">
        <v>334</v>
      </c>
      <c r="E362" t="s">
        <v>402</v>
      </c>
      <c r="F362" t="s">
        <v>140</v>
      </c>
      <c r="G362">
        <v>1</v>
      </c>
      <c r="H362" s="3">
        <v>4210</v>
      </c>
      <c r="I362" s="3">
        <v>4210</v>
      </c>
      <c r="J362" t="s">
        <v>82</v>
      </c>
      <c r="K362" t="s">
        <v>77</v>
      </c>
      <c r="L362" t="str">
        <f t="shared" si="5"/>
        <v>Monday</v>
      </c>
    </row>
    <row r="363" spans="1:12" ht="14.25" customHeight="1" x14ac:dyDescent="0.45">
      <c r="A363" t="s">
        <v>964</v>
      </c>
      <c r="B363" s="2" t="s">
        <v>314</v>
      </c>
      <c r="C363" t="s">
        <v>72</v>
      </c>
      <c r="D363" t="s">
        <v>398</v>
      </c>
      <c r="E363" t="s">
        <v>448</v>
      </c>
      <c r="F363" t="s">
        <v>131</v>
      </c>
      <c r="G363">
        <v>1</v>
      </c>
      <c r="H363" s="3">
        <v>2210</v>
      </c>
      <c r="I363" s="3">
        <v>2210</v>
      </c>
      <c r="J363" t="s">
        <v>76</v>
      </c>
      <c r="K363" t="s">
        <v>77</v>
      </c>
      <c r="L363" t="str">
        <f t="shared" si="5"/>
        <v>Monday</v>
      </c>
    </row>
    <row r="364" spans="1:12" ht="14.25" customHeight="1" x14ac:dyDescent="0.45">
      <c r="A364" t="s">
        <v>390</v>
      </c>
      <c r="B364" s="2" t="s">
        <v>391</v>
      </c>
      <c r="C364" t="s">
        <v>96</v>
      </c>
      <c r="D364" t="s">
        <v>196</v>
      </c>
      <c r="E364" t="s">
        <v>246</v>
      </c>
      <c r="F364" t="s">
        <v>81</v>
      </c>
      <c r="G364">
        <v>1</v>
      </c>
      <c r="H364" s="3">
        <v>13160</v>
      </c>
      <c r="I364" s="3">
        <v>13160</v>
      </c>
      <c r="J364" t="s">
        <v>76</v>
      </c>
      <c r="K364" t="s">
        <v>83</v>
      </c>
      <c r="L364" t="str">
        <f t="shared" si="5"/>
        <v>Monday</v>
      </c>
    </row>
    <row r="365" spans="1:12" ht="14.25" customHeight="1" x14ac:dyDescent="0.45">
      <c r="A365" t="s">
        <v>575</v>
      </c>
      <c r="B365" s="2" t="s">
        <v>135</v>
      </c>
      <c r="C365" t="s">
        <v>96</v>
      </c>
      <c r="D365" t="s">
        <v>196</v>
      </c>
      <c r="E365" t="s">
        <v>300</v>
      </c>
      <c r="F365" t="s">
        <v>75</v>
      </c>
      <c r="G365">
        <v>1</v>
      </c>
      <c r="H365" s="3">
        <v>4580</v>
      </c>
      <c r="I365" s="3">
        <v>4580</v>
      </c>
      <c r="J365" t="s">
        <v>82</v>
      </c>
      <c r="K365" t="s">
        <v>83</v>
      </c>
      <c r="L365" t="str">
        <f t="shared" si="5"/>
        <v>Saturday</v>
      </c>
    </row>
    <row r="366" spans="1:12" ht="14.25" customHeight="1" x14ac:dyDescent="0.45">
      <c r="A366" t="s">
        <v>1072</v>
      </c>
      <c r="B366" s="2" t="s">
        <v>148</v>
      </c>
      <c r="C366" t="s">
        <v>100</v>
      </c>
      <c r="D366" t="s">
        <v>398</v>
      </c>
      <c r="E366" t="s">
        <v>475</v>
      </c>
      <c r="F366" t="s">
        <v>140</v>
      </c>
      <c r="G366">
        <v>1</v>
      </c>
      <c r="H366" s="3">
        <v>1810</v>
      </c>
      <c r="I366" s="3">
        <v>1810</v>
      </c>
      <c r="J366" t="s">
        <v>76</v>
      </c>
      <c r="K366" t="s">
        <v>77</v>
      </c>
      <c r="L366" t="str">
        <f t="shared" si="5"/>
        <v>Sunday</v>
      </c>
    </row>
    <row r="367" spans="1:12" ht="14.25" customHeight="1" x14ac:dyDescent="0.45">
      <c r="A367" t="s">
        <v>842</v>
      </c>
      <c r="B367" s="2" t="s">
        <v>843</v>
      </c>
      <c r="C367" t="s">
        <v>100</v>
      </c>
      <c r="D367" t="s">
        <v>73</v>
      </c>
      <c r="E367" t="s">
        <v>441</v>
      </c>
      <c r="F367" t="s">
        <v>81</v>
      </c>
      <c r="G367">
        <v>1</v>
      </c>
      <c r="H367" s="3">
        <v>2880</v>
      </c>
      <c r="I367" s="3">
        <v>2880</v>
      </c>
      <c r="J367" t="s">
        <v>76</v>
      </c>
      <c r="K367" t="s">
        <v>93</v>
      </c>
      <c r="L367" t="str">
        <f t="shared" si="5"/>
        <v>Sunday</v>
      </c>
    </row>
    <row r="368" spans="1:12" ht="14.25" customHeight="1" x14ac:dyDescent="0.45">
      <c r="A368" t="s">
        <v>845</v>
      </c>
      <c r="B368" s="2" t="s">
        <v>237</v>
      </c>
      <c r="C368" t="s">
        <v>100</v>
      </c>
      <c r="D368" t="s">
        <v>73</v>
      </c>
      <c r="E368" t="s">
        <v>441</v>
      </c>
      <c r="F368" t="s">
        <v>75</v>
      </c>
      <c r="G368">
        <v>1</v>
      </c>
      <c r="H368" s="3">
        <v>2870</v>
      </c>
      <c r="I368" s="3">
        <v>2870</v>
      </c>
      <c r="J368" t="s">
        <v>76</v>
      </c>
      <c r="K368" t="s">
        <v>77</v>
      </c>
      <c r="L368" t="str">
        <f t="shared" si="5"/>
        <v>Friday</v>
      </c>
    </row>
    <row r="369" spans="1:12" ht="14.25" customHeight="1" x14ac:dyDescent="0.45">
      <c r="A369" t="s">
        <v>541</v>
      </c>
      <c r="B369" s="2" t="s">
        <v>142</v>
      </c>
      <c r="C369" t="s">
        <v>96</v>
      </c>
      <c r="D369" t="s">
        <v>398</v>
      </c>
      <c r="E369" t="s">
        <v>475</v>
      </c>
      <c r="F369" t="s">
        <v>117</v>
      </c>
      <c r="G369">
        <v>3</v>
      </c>
      <c r="H369" s="3">
        <v>1750</v>
      </c>
      <c r="I369" s="3">
        <v>5250</v>
      </c>
      <c r="J369" t="s">
        <v>82</v>
      </c>
      <c r="K369" t="s">
        <v>93</v>
      </c>
      <c r="L369" t="str">
        <f t="shared" si="5"/>
        <v>Friday</v>
      </c>
    </row>
    <row r="370" spans="1:12" ht="14.25" customHeight="1" x14ac:dyDescent="0.45">
      <c r="A370" t="s">
        <v>423</v>
      </c>
      <c r="B370" s="2" t="s">
        <v>162</v>
      </c>
      <c r="C370" t="s">
        <v>96</v>
      </c>
      <c r="D370" t="s">
        <v>73</v>
      </c>
      <c r="E370" t="s">
        <v>211</v>
      </c>
      <c r="F370" t="s">
        <v>107</v>
      </c>
      <c r="G370">
        <v>1</v>
      </c>
      <c r="H370" s="3">
        <v>11980</v>
      </c>
      <c r="I370" s="3">
        <v>11980</v>
      </c>
      <c r="J370" t="s">
        <v>76</v>
      </c>
      <c r="K370" t="s">
        <v>77</v>
      </c>
      <c r="L370" t="str">
        <f t="shared" si="5"/>
        <v>Sunday</v>
      </c>
    </row>
    <row r="371" spans="1:12" ht="14.25" customHeight="1" x14ac:dyDescent="0.45">
      <c r="A371" t="s">
        <v>774</v>
      </c>
      <c r="B371" s="2" t="s">
        <v>71</v>
      </c>
      <c r="C371" t="s">
        <v>89</v>
      </c>
      <c r="D371" t="s">
        <v>398</v>
      </c>
      <c r="E371" t="s">
        <v>399</v>
      </c>
      <c r="F371" t="s">
        <v>81</v>
      </c>
      <c r="G371">
        <v>1</v>
      </c>
      <c r="H371" s="3">
        <v>3180</v>
      </c>
      <c r="I371" s="3">
        <v>3180</v>
      </c>
      <c r="J371" t="s">
        <v>82</v>
      </c>
      <c r="K371" t="s">
        <v>83</v>
      </c>
      <c r="L371" t="str">
        <f t="shared" si="5"/>
        <v>Friday</v>
      </c>
    </row>
    <row r="372" spans="1:12" ht="14.25" customHeight="1" x14ac:dyDescent="0.45">
      <c r="A372" t="s">
        <v>839</v>
      </c>
      <c r="B372" s="2" t="s">
        <v>715</v>
      </c>
      <c r="C372" t="s">
        <v>89</v>
      </c>
      <c r="D372" t="s">
        <v>472</v>
      </c>
      <c r="E372" t="s">
        <v>691</v>
      </c>
      <c r="F372" t="s">
        <v>86</v>
      </c>
      <c r="G372">
        <v>3</v>
      </c>
      <c r="H372" s="3">
        <v>980</v>
      </c>
      <c r="I372" s="3">
        <v>2940</v>
      </c>
      <c r="J372" t="s">
        <v>76</v>
      </c>
      <c r="K372" t="s">
        <v>77</v>
      </c>
      <c r="L372" t="str">
        <f t="shared" si="5"/>
        <v>Saturday</v>
      </c>
    </row>
    <row r="373" spans="1:12" ht="14.25" customHeight="1" x14ac:dyDescent="0.45">
      <c r="A373" t="s">
        <v>394</v>
      </c>
      <c r="B373" s="2" t="s">
        <v>204</v>
      </c>
      <c r="C373" t="s">
        <v>89</v>
      </c>
      <c r="D373" t="s">
        <v>196</v>
      </c>
      <c r="E373" t="s">
        <v>246</v>
      </c>
      <c r="F373" t="s">
        <v>107</v>
      </c>
      <c r="G373">
        <v>1</v>
      </c>
      <c r="H373" s="3">
        <v>12990</v>
      </c>
      <c r="I373" s="3">
        <v>12990</v>
      </c>
      <c r="J373" t="s">
        <v>76</v>
      </c>
      <c r="K373" t="s">
        <v>83</v>
      </c>
      <c r="L373" t="str">
        <f t="shared" si="5"/>
        <v>Monday</v>
      </c>
    </row>
    <row r="374" spans="1:12" ht="14.25" customHeight="1" x14ac:dyDescent="0.45">
      <c r="A374" t="s">
        <v>827</v>
      </c>
      <c r="B374" s="2" t="s">
        <v>213</v>
      </c>
      <c r="C374" t="s">
        <v>80</v>
      </c>
      <c r="D374" t="s">
        <v>472</v>
      </c>
      <c r="E374" t="s">
        <v>497</v>
      </c>
      <c r="F374" t="s">
        <v>90</v>
      </c>
      <c r="G374">
        <v>1</v>
      </c>
      <c r="H374" s="3">
        <v>3060</v>
      </c>
      <c r="I374" s="3">
        <v>3060</v>
      </c>
      <c r="J374" t="s">
        <v>82</v>
      </c>
      <c r="K374" t="s">
        <v>93</v>
      </c>
      <c r="L374" t="str">
        <f t="shared" si="5"/>
        <v>Tuesday</v>
      </c>
    </row>
    <row r="375" spans="1:12" ht="14.25" customHeight="1" x14ac:dyDescent="0.45">
      <c r="A375" t="s">
        <v>636</v>
      </c>
      <c r="B375" s="2" t="s">
        <v>115</v>
      </c>
      <c r="C375" t="s">
        <v>89</v>
      </c>
      <c r="D375" t="s">
        <v>398</v>
      </c>
      <c r="E375" t="s">
        <v>448</v>
      </c>
      <c r="F375" t="s">
        <v>107</v>
      </c>
      <c r="G375">
        <v>2</v>
      </c>
      <c r="H375" s="3">
        <v>2130</v>
      </c>
      <c r="I375" s="3">
        <v>4260</v>
      </c>
      <c r="J375" t="s">
        <v>76</v>
      </c>
      <c r="K375" t="s">
        <v>93</v>
      </c>
      <c r="L375" t="str">
        <f t="shared" si="5"/>
        <v>Friday</v>
      </c>
    </row>
    <row r="376" spans="1:12" ht="14.25" customHeight="1" x14ac:dyDescent="0.45">
      <c r="A376" t="s">
        <v>775</v>
      </c>
      <c r="B376" s="2" t="s">
        <v>202</v>
      </c>
      <c r="C376" t="s">
        <v>96</v>
      </c>
      <c r="D376" t="s">
        <v>472</v>
      </c>
      <c r="E376" t="s">
        <v>500</v>
      </c>
      <c r="F376" t="s">
        <v>107</v>
      </c>
      <c r="G376">
        <v>2</v>
      </c>
      <c r="H376" s="3">
        <v>1590</v>
      </c>
      <c r="I376" s="3">
        <v>3180</v>
      </c>
      <c r="J376" t="s">
        <v>76</v>
      </c>
      <c r="K376" t="s">
        <v>77</v>
      </c>
      <c r="L376" t="str">
        <f t="shared" si="5"/>
        <v>Sunday</v>
      </c>
    </row>
    <row r="377" spans="1:12" ht="14.25" customHeight="1" x14ac:dyDescent="0.45">
      <c r="A377" t="s">
        <v>1075</v>
      </c>
      <c r="B377" s="2" t="s">
        <v>115</v>
      </c>
      <c r="C377" t="s">
        <v>96</v>
      </c>
      <c r="D377" t="s">
        <v>398</v>
      </c>
      <c r="E377" t="s">
        <v>475</v>
      </c>
      <c r="F377" t="s">
        <v>117</v>
      </c>
      <c r="G377">
        <v>1</v>
      </c>
      <c r="H377" s="3">
        <v>1800</v>
      </c>
      <c r="I377" s="3">
        <v>1800</v>
      </c>
      <c r="J377" t="s">
        <v>76</v>
      </c>
      <c r="K377" t="s">
        <v>83</v>
      </c>
      <c r="L377" t="str">
        <f t="shared" si="5"/>
        <v>Friday</v>
      </c>
    </row>
    <row r="378" spans="1:12" ht="14.25" customHeight="1" x14ac:dyDescent="0.45">
      <c r="A378" t="s">
        <v>807</v>
      </c>
      <c r="B378" s="2" t="s">
        <v>556</v>
      </c>
      <c r="C378" t="s">
        <v>100</v>
      </c>
      <c r="D378" t="s">
        <v>472</v>
      </c>
      <c r="E378" t="s">
        <v>497</v>
      </c>
      <c r="F378" t="s">
        <v>140</v>
      </c>
      <c r="G378">
        <v>1</v>
      </c>
      <c r="H378" s="3">
        <v>3120</v>
      </c>
      <c r="I378" s="3">
        <v>3120</v>
      </c>
      <c r="J378" t="s">
        <v>82</v>
      </c>
      <c r="K378" t="s">
        <v>77</v>
      </c>
      <c r="L378" t="str">
        <f t="shared" si="5"/>
        <v>Monday</v>
      </c>
    </row>
    <row r="379" spans="1:12" ht="14.25" customHeight="1" x14ac:dyDescent="0.45">
      <c r="A379" t="s">
        <v>1017</v>
      </c>
      <c r="B379" s="2" t="s">
        <v>569</v>
      </c>
      <c r="C379" t="s">
        <v>96</v>
      </c>
      <c r="D379" t="s">
        <v>334</v>
      </c>
      <c r="E379" t="s">
        <v>527</v>
      </c>
      <c r="F379" t="s">
        <v>86</v>
      </c>
      <c r="G379">
        <v>1</v>
      </c>
      <c r="H379" s="3">
        <v>1950</v>
      </c>
      <c r="I379" s="3">
        <v>1950</v>
      </c>
      <c r="J379" t="s">
        <v>76</v>
      </c>
      <c r="K379" t="s">
        <v>83</v>
      </c>
      <c r="L379" t="str">
        <f t="shared" si="5"/>
        <v>Tuesday</v>
      </c>
    </row>
    <row r="380" spans="1:12" ht="14.25" customHeight="1" x14ac:dyDescent="0.45">
      <c r="A380" t="s">
        <v>892</v>
      </c>
      <c r="B380" s="2" t="s">
        <v>607</v>
      </c>
      <c r="C380" t="s">
        <v>89</v>
      </c>
      <c r="D380" t="s">
        <v>398</v>
      </c>
      <c r="E380" t="s">
        <v>464</v>
      </c>
      <c r="F380" t="s">
        <v>140</v>
      </c>
      <c r="G380">
        <v>1</v>
      </c>
      <c r="H380" s="3">
        <v>2510</v>
      </c>
      <c r="I380" s="3">
        <v>2510</v>
      </c>
      <c r="J380" t="s">
        <v>76</v>
      </c>
      <c r="K380" t="s">
        <v>77</v>
      </c>
      <c r="L380" t="str">
        <f t="shared" si="5"/>
        <v>Saturday</v>
      </c>
    </row>
    <row r="381" spans="1:12" ht="14.25" customHeight="1" x14ac:dyDescent="0.45">
      <c r="A381" t="s">
        <v>388</v>
      </c>
      <c r="B381" s="2" t="s">
        <v>389</v>
      </c>
      <c r="C381" t="s">
        <v>80</v>
      </c>
      <c r="D381" t="s">
        <v>196</v>
      </c>
      <c r="E381" t="s">
        <v>246</v>
      </c>
      <c r="F381" t="s">
        <v>75</v>
      </c>
      <c r="G381">
        <v>1</v>
      </c>
      <c r="H381" s="3">
        <v>13190</v>
      </c>
      <c r="I381" s="3">
        <v>13190</v>
      </c>
      <c r="J381" t="s">
        <v>82</v>
      </c>
      <c r="K381" t="s">
        <v>83</v>
      </c>
      <c r="L381" t="str">
        <f t="shared" si="5"/>
        <v>Tuesday</v>
      </c>
    </row>
    <row r="382" spans="1:12" ht="14.25" customHeight="1" x14ac:dyDescent="0.45">
      <c r="A382" t="s">
        <v>747</v>
      </c>
      <c r="B382" s="2" t="s">
        <v>127</v>
      </c>
      <c r="C382" t="s">
        <v>89</v>
      </c>
      <c r="D382" t="s">
        <v>398</v>
      </c>
      <c r="E382" t="s">
        <v>399</v>
      </c>
      <c r="F382" t="s">
        <v>117</v>
      </c>
      <c r="G382">
        <v>1</v>
      </c>
      <c r="H382" s="3">
        <v>3280</v>
      </c>
      <c r="I382" s="3">
        <v>3280</v>
      </c>
      <c r="J382" t="s">
        <v>82</v>
      </c>
      <c r="K382" t="s">
        <v>77</v>
      </c>
      <c r="L382" t="str">
        <f t="shared" si="5"/>
        <v>Saturday</v>
      </c>
    </row>
    <row r="383" spans="1:12" ht="14.25" customHeight="1" x14ac:dyDescent="0.45">
      <c r="A383" t="s">
        <v>373</v>
      </c>
      <c r="B383" s="2" t="s">
        <v>374</v>
      </c>
      <c r="C383" t="s">
        <v>96</v>
      </c>
      <c r="D383" t="s">
        <v>196</v>
      </c>
      <c r="E383" t="s">
        <v>246</v>
      </c>
      <c r="F383" t="s">
        <v>107</v>
      </c>
      <c r="G383">
        <v>1</v>
      </c>
      <c r="H383" s="3">
        <v>14000</v>
      </c>
      <c r="I383" s="3">
        <v>14000</v>
      </c>
      <c r="J383" t="s">
        <v>82</v>
      </c>
      <c r="K383" t="s">
        <v>83</v>
      </c>
      <c r="L383" t="str">
        <f t="shared" si="5"/>
        <v>Wednesday</v>
      </c>
    </row>
    <row r="384" spans="1:12" ht="14.25" customHeight="1" x14ac:dyDescent="0.45">
      <c r="A384" t="s">
        <v>121</v>
      </c>
      <c r="B384" s="2" t="s">
        <v>122</v>
      </c>
      <c r="C384" t="s">
        <v>89</v>
      </c>
      <c r="D384" t="s">
        <v>73</v>
      </c>
      <c r="E384" t="s">
        <v>104</v>
      </c>
      <c r="F384" t="s">
        <v>123</v>
      </c>
      <c r="G384">
        <v>2</v>
      </c>
      <c r="H384" s="3">
        <v>55250</v>
      </c>
      <c r="I384" s="3">
        <v>110500</v>
      </c>
      <c r="J384" t="s">
        <v>76</v>
      </c>
      <c r="K384" t="s">
        <v>77</v>
      </c>
      <c r="L384" t="str">
        <f t="shared" si="5"/>
        <v>Friday</v>
      </c>
    </row>
    <row r="385" spans="1:12" ht="14.25" customHeight="1" x14ac:dyDescent="0.45">
      <c r="A385" t="s">
        <v>729</v>
      </c>
      <c r="B385" s="2" t="s">
        <v>261</v>
      </c>
      <c r="C385" t="s">
        <v>89</v>
      </c>
      <c r="D385" t="s">
        <v>398</v>
      </c>
      <c r="E385" t="s">
        <v>475</v>
      </c>
      <c r="F385" t="s">
        <v>81</v>
      </c>
      <c r="G385">
        <v>2</v>
      </c>
      <c r="H385" s="3">
        <v>1770</v>
      </c>
      <c r="I385" s="3">
        <v>3540</v>
      </c>
      <c r="J385" t="s">
        <v>82</v>
      </c>
      <c r="K385" t="s">
        <v>93</v>
      </c>
      <c r="L385" t="str">
        <f t="shared" si="5"/>
        <v>Sunday</v>
      </c>
    </row>
    <row r="386" spans="1:12" ht="14.25" customHeight="1" x14ac:dyDescent="0.45">
      <c r="A386" t="s">
        <v>738</v>
      </c>
      <c r="B386" s="2" t="s">
        <v>571</v>
      </c>
      <c r="C386" t="s">
        <v>96</v>
      </c>
      <c r="D386" t="s">
        <v>73</v>
      </c>
      <c r="E386" t="s">
        <v>443</v>
      </c>
      <c r="F386" t="s">
        <v>97</v>
      </c>
      <c r="G386">
        <v>1</v>
      </c>
      <c r="H386" s="3">
        <v>3470</v>
      </c>
      <c r="I386" s="3">
        <v>3470</v>
      </c>
      <c r="J386" t="s">
        <v>76</v>
      </c>
      <c r="K386" t="s">
        <v>77</v>
      </c>
      <c r="L386" t="str">
        <f t="shared" ref="L386:L449" si="6">TEXT(B386,"dddd")</f>
        <v>Saturday</v>
      </c>
    </row>
    <row r="387" spans="1:12" ht="14.25" customHeight="1" x14ac:dyDescent="0.45">
      <c r="A387" t="s">
        <v>929</v>
      </c>
      <c r="B387" s="2" t="s">
        <v>303</v>
      </c>
      <c r="C387" t="s">
        <v>89</v>
      </c>
      <c r="D387" t="s">
        <v>472</v>
      </c>
      <c r="E387" t="s">
        <v>473</v>
      </c>
      <c r="F387" t="s">
        <v>140</v>
      </c>
      <c r="G387">
        <v>1</v>
      </c>
      <c r="H387" s="3">
        <v>2360</v>
      </c>
      <c r="I387" s="3">
        <v>2360</v>
      </c>
      <c r="J387" t="s">
        <v>82</v>
      </c>
      <c r="K387" t="s">
        <v>77</v>
      </c>
      <c r="L387" t="str">
        <f t="shared" si="6"/>
        <v>Tuesday</v>
      </c>
    </row>
    <row r="388" spans="1:12" ht="14.25" customHeight="1" x14ac:dyDescent="0.45">
      <c r="A388" t="s">
        <v>487</v>
      </c>
      <c r="B388" s="2" t="s">
        <v>365</v>
      </c>
      <c r="C388" t="s">
        <v>96</v>
      </c>
      <c r="D388" t="s">
        <v>73</v>
      </c>
      <c r="E388" t="s">
        <v>443</v>
      </c>
      <c r="F388" t="s">
        <v>140</v>
      </c>
      <c r="G388">
        <v>2</v>
      </c>
      <c r="H388" s="3">
        <v>3380</v>
      </c>
      <c r="I388" s="3">
        <v>6760</v>
      </c>
      <c r="J388" t="s">
        <v>76</v>
      </c>
      <c r="K388" t="s">
        <v>93</v>
      </c>
      <c r="L388" t="str">
        <f t="shared" si="6"/>
        <v>Friday</v>
      </c>
    </row>
    <row r="389" spans="1:12" ht="14.25" customHeight="1" x14ac:dyDescent="0.45">
      <c r="A389" t="s">
        <v>1121</v>
      </c>
      <c r="B389" s="2" t="s">
        <v>251</v>
      </c>
      <c r="C389" t="s">
        <v>89</v>
      </c>
      <c r="D389" t="s">
        <v>472</v>
      </c>
      <c r="E389" t="s">
        <v>500</v>
      </c>
      <c r="F389" t="s">
        <v>117</v>
      </c>
      <c r="G389">
        <v>1</v>
      </c>
      <c r="H389" s="3">
        <v>1590</v>
      </c>
      <c r="I389" s="3">
        <v>1590</v>
      </c>
      <c r="J389" t="s">
        <v>76</v>
      </c>
      <c r="K389" t="s">
        <v>93</v>
      </c>
      <c r="L389" t="str">
        <f t="shared" si="6"/>
        <v>Friday</v>
      </c>
    </row>
    <row r="390" spans="1:12" ht="14.25" customHeight="1" x14ac:dyDescent="0.45">
      <c r="A390" t="s">
        <v>999</v>
      </c>
      <c r="B390" s="2" t="s">
        <v>186</v>
      </c>
      <c r="C390" t="s">
        <v>89</v>
      </c>
      <c r="D390" t="s">
        <v>398</v>
      </c>
      <c r="E390" t="s">
        <v>462</v>
      </c>
      <c r="F390" t="s">
        <v>123</v>
      </c>
      <c r="G390">
        <v>1</v>
      </c>
      <c r="H390" s="3">
        <v>2090</v>
      </c>
      <c r="I390" s="3">
        <v>2090</v>
      </c>
      <c r="J390" t="s">
        <v>82</v>
      </c>
      <c r="K390" t="s">
        <v>77</v>
      </c>
      <c r="L390" t="str">
        <f t="shared" si="6"/>
        <v>Thursday</v>
      </c>
    </row>
    <row r="391" spans="1:12" ht="14.25" customHeight="1" x14ac:dyDescent="0.45">
      <c r="A391" t="s">
        <v>159</v>
      </c>
      <c r="B391" s="2" t="s">
        <v>160</v>
      </c>
      <c r="C391" t="s">
        <v>89</v>
      </c>
      <c r="D391" t="s">
        <v>73</v>
      </c>
      <c r="E391" t="s">
        <v>74</v>
      </c>
      <c r="F391" t="s">
        <v>90</v>
      </c>
      <c r="G391">
        <v>1</v>
      </c>
      <c r="H391" s="3">
        <v>92930</v>
      </c>
      <c r="I391" s="3">
        <v>92930</v>
      </c>
      <c r="J391" t="s">
        <v>76</v>
      </c>
      <c r="K391" t="s">
        <v>83</v>
      </c>
      <c r="L391" t="str">
        <f t="shared" si="6"/>
        <v>Monday</v>
      </c>
    </row>
    <row r="392" spans="1:12" ht="14.25" customHeight="1" x14ac:dyDescent="0.45">
      <c r="A392" t="s">
        <v>220</v>
      </c>
      <c r="B392" s="2" t="s">
        <v>221</v>
      </c>
      <c r="C392" t="s">
        <v>96</v>
      </c>
      <c r="D392" t="s">
        <v>73</v>
      </c>
      <c r="E392" t="s">
        <v>101</v>
      </c>
      <c r="F392" t="s">
        <v>97</v>
      </c>
      <c r="G392">
        <v>1</v>
      </c>
      <c r="H392" s="3">
        <v>43410</v>
      </c>
      <c r="I392" s="3">
        <v>43410</v>
      </c>
      <c r="J392" t="s">
        <v>82</v>
      </c>
      <c r="K392" t="s">
        <v>93</v>
      </c>
      <c r="L392" t="str">
        <f t="shared" si="6"/>
        <v>Saturday</v>
      </c>
    </row>
    <row r="393" spans="1:12" ht="14.25" customHeight="1" x14ac:dyDescent="0.45">
      <c r="A393" t="s">
        <v>1068</v>
      </c>
      <c r="B393" s="2" t="s">
        <v>240</v>
      </c>
      <c r="C393" t="s">
        <v>96</v>
      </c>
      <c r="D393" t="s">
        <v>334</v>
      </c>
      <c r="E393" t="s">
        <v>527</v>
      </c>
      <c r="F393" t="s">
        <v>131</v>
      </c>
      <c r="G393">
        <v>1</v>
      </c>
      <c r="H393" s="3">
        <v>1820</v>
      </c>
      <c r="I393" s="3">
        <v>1820</v>
      </c>
      <c r="J393" t="s">
        <v>76</v>
      </c>
      <c r="K393" t="s">
        <v>83</v>
      </c>
      <c r="L393" t="str">
        <f t="shared" si="6"/>
        <v>Friday</v>
      </c>
    </row>
    <row r="394" spans="1:12" ht="14.25" customHeight="1" x14ac:dyDescent="0.45">
      <c r="A394" t="s">
        <v>820</v>
      </c>
      <c r="B394" s="2" t="s">
        <v>556</v>
      </c>
      <c r="C394" t="s">
        <v>100</v>
      </c>
      <c r="D394" t="s">
        <v>398</v>
      </c>
      <c r="E394" t="s">
        <v>399</v>
      </c>
      <c r="F394" t="s">
        <v>140</v>
      </c>
      <c r="G394">
        <v>1</v>
      </c>
      <c r="H394" s="3">
        <v>3080</v>
      </c>
      <c r="I394" s="3">
        <v>3080</v>
      </c>
      <c r="J394" t="s">
        <v>76</v>
      </c>
      <c r="K394" t="s">
        <v>83</v>
      </c>
      <c r="L394" t="str">
        <f t="shared" si="6"/>
        <v>Monday</v>
      </c>
    </row>
    <row r="395" spans="1:12" ht="14.25" customHeight="1" x14ac:dyDescent="0.45">
      <c r="A395" t="s">
        <v>503</v>
      </c>
      <c r="B395" s="2" t="s">
        <v>251</v>
      </c>
      <c r="C395" t="s">
        <v>96</v>
      </c>
      <c r="D395" t="s">
        <v>398</v>
      </c>
      <c r="E395" t="s">
        <v>448</v>
      </c>
      <c r="F395" t="s">
        <v>90</v>
      </c>
      <c r="G395">
        <v>3</v>
      </c>
      <c r="H395" s="3">
        <v>2120</v>
      </c>
      <c r="I395" s="3">
        <v>6360</v>
      </c>
      <c r="J395" t="s">
        <v>76</v>
      </c>
      <c r="K395" t="s">
        <v>93</v>
      </c>
      <c r="L395" t="str">
        <f t="shared" si="6"/>
        <v>Friday</v>
      </c>
    </row>
    <row r="396" spans="1:12" ht="14.25" customHeight="1" x14ac:dyDescent="0.45">
      <c r="A396" t="s">
        <v>372</v>
      </c>
      <c r="B396" s="2" t="s">
        <v>125</v>
      </c>
      <c r="C396" t="s">
        <v>72</v>
      </c>
      <c r="D396" t="s">
        <v>196</v>
      </c>
      <c r="E396" t="s">
        <v>246</v>
      </c>
      <c r="F396" t="s">
        <v>117</v>
      </c>
      <c r="G396">
        <v>1</v>
      </c>
      <c r="H396" s="3">
        <v>14020</v>
      </c>
      <c r="I396" s="3">
        <v>14020</v>
      </c>
      <c r="J396" t="s">
        <v>76</v>
      </c>
      <c r="K396" t="s">
        <v>77</v>
      </c>
      <c r="L396" t="str">
        <f t="shared" si="6"/>
        <v>Friday</v>
      </c>
    </row>
    <row r="397" spans="1:12" ht="14.25" customHeight="1" x14ac:dyDescent="0.45">
      <c r="A397" t="s">
        <v>808</v>
      </c>
      <c r="B397" s="2" t="s">
        <v>430</v>
      </c>
      <c r="C397" t="s">
        <v>100</v>
      </c>
      <c r="D397" t="s">
        <v>334</v>
      </c>
      <c r="E397" t="s">
        <v>515</v>
      </c>
      <c r="F397" t="s">
        <v>117</v>
      </c>
      <c r="G397">
        <v>2</v>
      </c>
      <c r="H397" s="3">
        <v>1560</v>
      </c>
      <c r="I397" s="3">
        <v>3120</v>
      </c>
      <c r="J397" t="s">
        <v>82</v>
      </c>
      <c r="K397" t="s">
        <v>83</v>
      </c>
      <c r="L397" t="str">
        <f t="shared" si="6"/>
        <v>Friday</v>
      </c>
    </row>
    <row r="398" spans="1:12" ht="14.25" customHeight="1" x14ac:dyDescent="0.45">
      <c r="A398" t="s">
        <v>361</v>
      </c>
      <c r="B398" s="2" t="s">
        <v>186</v>
      </c>
      <c r="C398" t="s">
        <v>72</v>
      </c>
      <c r="D398" t="s">
        <v>196</v>
      </c>
      <c r="E398" t="s">
        <v>214</v>
      </c>
      <c r="F398" t="s">
        <v>123</v>
      </c>
      <c r="G398">
        <v>1</v>
      </c>
      <c r="H398" s="3">
        <v>15060</v>
      </c>
      <c r="I398" s="3">
        <v>15060</v>
      </c>
      <c r="J398" t="s">
        <v>76</v>
      </c>
      <c r="K398" t="s">
        <v>83</v>
      </c>
      <c r="L398" t="str">
        <f t="shared" si="6"/>
        <v>Thursday</v>
      </c>
    </row>
    <row r="399" spans="1:12" ht="14.25" customHeight="1" x14ac:dyDescent="0.45">
      <c r="A399" t="s">
        <v>622</v>
      </c>
      <c r="B399" s="2" t="s">
        <v>202</v>
      </c>
      <c r="C399" t="s">
        <v>100</v>
      </c>
      <c r="D399" t="s">
        <v>334</v>
      </c>
      <c r="E399" t="s">
        <v>402</v>
      </c>
      <c r="F399" t="s">
        <v>140</v>
      </c>
      <c r="G399">
        <v>1</v>
      </c>
      <c r="H399" s="3">
        <v>4330</v>
      </c>
      <c r="I399" s="3">
        <v>4330</v>
      </c>
      <c r="J399" t="s">
        <v>76</v>
      </c>
      <c r="K399" t="s">
        <v>93</v>
      </c>
      <c r="L399" t="str">
        <f t="shared" si="6"/>
        <v>Sunday</v>
      </c>
    </row>
    <row r="400" spans="1:12" ht="14.25" customHeight="1" x14ac:dyDescent="0.45">
      <c r="A400" t="s">
        <v>395</v>
      </c>
      <c r="B400" s="2" t="s">
        <v>109</v>
      </c>
      <c r="C400" t="s">
        <v>100</v>
      </c>
      <c r="D400" t="s">
        <v>196</v>
      </c>
      <c r="E400" t="s">
        <v>246</v>
      </c>
      <c r="F400" t="s">
        <v>131</v>
      </c>
      <c r="G400">
        <v>1</v>
      </c>
      <c r="H400" s="3">
        <v>12980</v>
      </c>
      <c r="I400" s="3">
        <v>12980</v>
      </c>
      <c r="J400" t="s">
        <v>76</v>
      </c>
      <c r="K400" t="s">
        <v>77</v>
      </c>
      <c r="L400" t="str">
        <f t="shared" si="6"/>
        <v>Saturday</v>
      </c>
    </row>
    <row r="401" spans="1:12" ht="14.25" customHeight="1" x14ac:dyDescent="0.45">
      <c r="A401" t="s">
        <v>1178</v>
      </c>
      <c r="B401" s="2" t="s">
        <v>350</v>
      </c>
      <c r="C401" t="s">
        <v>80</v>
      </c>
      <c r="D401" t="s">
        <v>472</v>
      </c>
      <c r="E401" t="s">
        <v>557</v>
      </c>
      <c r="F401" t="s">
        <v>140</v>
      </c>
      <c r="G401">
        <v>1</v>
      </c>
      <c r="H401" s="3">
        <v>1230</v>
      </c>
      <c r="I401" s="3">
        <v>1230</v>
      </c>
      <c r="J401" t="s">
        <v>82</v>
      </c>
      <c r="K401" t="s">
        <v>77</v>
      </c>
      <c r="L401" t="str">
        <f t="shared" si="6"/>
        <v>Tuesday</v>
      </c>
    </row>
    <row r="402" spans="1:12" ht="14.25" customHeight="1" x14ac:dyDescent="0.45">
      <c r="A402" t="s">
        <v>449</v>
      </c>
      <c r="B402" s="2" t="s">
        <v>393</v>
      </c>
      <c r="C402" t="s">
        <v>89</v>
      </c>
      <c r="D402" t="s">
        <v>196</v>
      </c>
      <c r="E402" t="s">
        <v>300</v>
      </c>
      <c r="F402" t="s">
        <v>75</v>
      </c>
      <c r="G402">
        <v>2</v>
      </c>
      <c r="H402" s="3">
        <v>4530</v>
      </c>
      <c r="I402" s="3">
        <v>9060</v>
      </c>
      <c r="J402" t="s">
        <v>76</v>
      </c>
      <c r="K402" t="s">
        <v>83</v>
      </c>
      <c r="L402" t="str">
        <f t="shared" si="6"/>
        <v>Tuesday</v>
      </c>
    </row>
    <row r="403" spans="1:12" ht="14.25" customHeight="1" x14ac:dyDescent="0.45">
      <c r="A403" t="s">
        <v>997</v>
      </c>
      <c r="B403" s="2" t="s">
        <v>430</v>
      </c>
      <c r="C403" t="s">
        <v>89</v>
      </c>
      <c r="D403" t="s">
        <v>398</v>
      </c>
      <c r="E403" t="s">
        <v>462</v>
      </c>
      <c r="F403" t="s">
        <v>90</v>
      </c>
      <c r="G403">
        <v>1</v>
      </c>
      <c r="H403" s="3">
        <v>2100</v>
      </c>
      <c r="I403" s="3">
        <v>2100</v>
      </c>
      <c r="J403" t="s">
        <v>82</v>
      </c>
      <c r="K403" t="s">
        <v>93</v>
      </c>
      <c r="L403" t="str">
        <f t="shared" si="6"/>
        <v>Friday</v>
      </c>
    </row>
    <row r="404" spans="1:12" ht="14.25" customHeight="1" x14ac:dyDescent="0.45">
      <c r="A404" t="s">
        <v>965</v>
      </c>
      <c r="B404" s="2" t="s">
        <v>578</v>
      </c>
      <c r="C404" t="s">
        <v>96</v>
      </c>
      <c r="D404" t="s">
        <v>398</v>
      </c>
      <c r="E404" t="s">
        <v>448</v>
      </c>
      <c r="F404" t="s">
        <v>117</v>
      </c>
      <c r="G404">
        <v>1</v>
      </c>
      <c r="H404" s="3">
        <v>2210</v>
      </c>
      <c r="I404" s="3">
        <v>2210</v>
      </c>
      <c r="J404" t="s">
        <v>76</v>
      </c>
      <c r="K404" t="s">
        <v>77</v>
      </c>
      <c r="L404" t="str">
        <f t="shared" si="6"/>
        <v>Friday</v>
      </c>
    </row>
    <row r="405" spans="1:12" ht="14.25" customHeight="1" x14ac:dyDescent="0.45">
      <c r="A405" t="s">
        <v>844</v>
      </c>
      <c r="B405" s="2" t="s">
        <v>244</v>
      </c>
      <c r="C405" t="s">
        <v>80</v>
      </c>
      <c r="D405" t="s">
        <v>334</v>
      </c>
      <c r="E405" t="s">
        <v>515</v>
      </c>
      <c r="F405" t="s">
        <v>86</v>
      </c>
      <c r="G405">
        <v>2</v>
      </c>
      <c r="H405" s="3">
        <v>1440</v>
      </c>
      <c r="I405" s="3">
        <v>2880</v>
      </c>
      <c r="J405" t="s">
        <v>76</v>
      </c>
      <c r="K405" t="s">
        <v>93</v>
      </c>
      <c r="L405" t="str">
        <f t="shared" si="6"/>
        <v>Thursday</v>
      </c>
    </row>
    <row r="406" spans="1:12" ht="14.25" customHeight="1" x14ac:dyDescent="0.45">
      <c r="A406" t="s">
        <v>989</v>
      </c>
      <c r="B406" s="2" t="s">
        <v>320</v>
      </c>
      <c r="C406" t="s">
        <v>80</v>
      </c>
      <c r="D406" t="s">
        <v>398</v>
      </c>
      <c r="E406" t="s">
        <v>462</v>
      </c>
      <c r="F406" t="s">
        <v>75</v>
      </c>
      <c r="G406">
        <v>1</v>
      </c>
      <c r="H406" s="3">
        <v>2120</v>
      </c>
      <c r="I406" s="3">
        <v>2120</v>
      </c>
      <c r="J406" t="s">
        <v>82</v>
      </c>
      <c r="K406" t="s">
        <v>83</v>
      </c>
      <c r="L406" t="str">
        <f t="shared" si="6"/>
        <v>Tuesday</v>
      </c>
    </row>
    <row r="407" spans="1:12" ht="14.25" customHeight="1" x14ac:dyDescent="0.45">
      <c r="A407" t="s">
        <v>451</v>
      </c>
      <c r="B407" s="2" t="s">
        <v>311</v>
      </c>
      <c r="C407" t="s">
        <v>89</v>
      </c>
      <c r="D407" t="s">
        <v>196</v>
      </c>
      <c r="E407" t="s">
        <v>300</v>
      </c>
      <c r="F407" t="s">
        <v>86</v>
      </c>
      <c r="G407">
        <v>2</v>
      </c>
      <c r="H407" s="3">
        <v>4340</v>
      </c>
      <c r="I407" s="3">
        <v>8680</v>
      </c>
      <c r="J407" t="s">
        <v>82</v>
      </c>
      <c r="K407" t="s">
        <v>83</v>
      </c>
      <c r="L407" t="str">
        <f t="shared" si="6"/>
        <v>Thursday</v>
      </c>
    </row>
    <row r="408" spans="1:12" ht="14.25" customHeight="1" x14ac:dyDescent="0.45">
      <c r="A408" t="s">
        <v>299</v>
      </c>
      <c r="B408" s="2" t="s">
        <v>253</v>
      </c>
      <c r="C408" t="s">
        <v>89</v>
      </c>
      <c r="D408" t="s">
        <v>196</v>
      </c>
      <c r="E408" t="s">
        <v>300</v>
      </c>
      <c r="F408" t="s">
        <v>140</v>
      </c>
      <c r="G408">
        <v>4</v>
      </c>
      <c r="H408" s="3">
        <v>4680</v>
      </c>
      <c r="I408" s="3">
        <v>18720</v>
      </c>
      <c r="J408" t="s">
        <v>82</v>
      </c>
      <c r="K408" t="s">
        <v>83</v>
      </c>
      <c r="L408" t="str">
        <f t="shared" si="6"/>
        <v>Friday</v>
      </c>
    </row>
    <row r="409" spans="1:12" ht="14.25" customHeight="1" x14ac:dyDescent="0.45">
      <c r="A409" t="s">
        <v>937</v>
      </c>
      <c r="B409" s="2" t="s">
        <v>919</v>
      </c>
      <c r="C409" t="s">
        <v>80</v>
      </c>
      <c r="D409" t="s">
        <v>472</v>
      </c>
      <c r="E409" t="s">
        <v>473</v>
      </c>
      <c r="F409" t="s">
        <v>81</v>
      </c>
      <c r="G409">
        <v>1</v>
      </c>
      <c r="H409" s="3">
        <v>2330</v>
      </c>
      <c r="I409" s="3">
        <v>2330</v>
      </c>
      <c r="J409" t="s">
        <v>82</v>
      </c>
      <c r="K409" t="s">
        <v>77</v>
      </c>
      <c r="L409" t="str">
        <f t="shared" si="6"/>
        <v>Saturday</v>
      </c>
    </row>
    <row r="410" spans="1:12" ht="14.25" customHeight="1" x14ac:dyDescent="0.45">
      <c r="A410" t="s">
        <v>1100</v>
      </c>
      <c r="B410" s="2" t="s">
        <v>218</v>
      </c>
      <c r="C410" t="s">
        <v>96</v>
      </c>
      <c r="D410" t="s">
        <v>472</v>
      </c>
      <c r="E410" t="s">
        <v>500</v>
      </c>
      <c r="F410" t="s">
        <v>97</v>
      </c>
      <c r="G410">
        <v>1</v>
      </c>
      <c r="H410" s="3">
        <v>1650</v>
      </c>
      <c r="I410" s="3">
        <v>1650</v>
      </c>
      <c r="J410" t="s">
        <v>76</v>
      </c>
      <c r="K410" t="s">
        <v>83</v>
      </c>
      <c r="L410" t="str">
        <f t="shared" si="6"/>
        <v>Wednesday</v>
      </c>
    </row>
    <row r="411" spans="1:12" ht="14.25" customHeight="1" x14ac:dyDescent="0.45">
      <c r="A411" t="s">
        <v>226</v>
      </c>
      <c r="B411" s="2" t="s">
        <v>227</v>
      </c>
      <c r="C411" t="s">
        <v>80</v>
      </c>
      <c r="D411" t="s">
        <v>73</v>
      </c>
      <c r="E411" t="s">
        <v>101</v>
      </c>
      <c r="F411" t="s">
        <v>123</v>
      </c>
      <c r="G411">
        <v>1</v>
      </c>
      <c r="H411" s="3">
        <v>43090</v>
      </c>
      <c r="I411" s="3">
        <v>43090</v>
      </c>
      <c r="J411" t="s">
        <v>76</v>
      </c>
      <c r="K411" t="s">
        <v>83</v>
      </c>
      <c r="L411" t="str">
        <f t="shared" si="6"/>
        <v>Sunday</v>
      </c>
    </row>
    <row r="412" spans="1:12" ht="14.25" customHeight="1" x14ac:dyDescent="0.45">
      <c r="A412" t="s">
        <v>793</v>
      </c>
      <c r="B412" s="2" t="s">
        <v>526</v>
      </c>
      <c r="C412" t="s">
        <v>100</v>
      </c>
      <c r="D412" t="s">
        <v>472</v>
      </c>
      <c r="E412" t="s">
        <v>497</v>
      </c>
      <c r="F412" t="s">
        <v>86</v>
      </c>
      <c r="G412">
        <v>1</v>
      </c>
      <c r="H412" s="3">
        <v>3150</v>
      </c>
      <c r="I412" s="3">
        <v>3150</v>
      </c>
      <c r="J412" t="s">
        <v>76</v>
      </c>
      <c r="K412" t="s">
        <v>77</v>
      </c>
      <c r="L412" t="str">
        <f t="shared" si="6"/>
        <v>Sunday</v>
      </c>
    </row>
    <row r="413" spans="1:12" ht="14.25" customHeight="1" x14ac:dyDescent="0.45">
      <c r="A413" t="s">
        <v>1045</v>
      </c>
      <c r="B413" s="2" t="s">
        <v>699</v>
      </c>
      <c r="C413" t="s">
        <v>89</v>
      </c>
      <c r="D413" t="s">
        <v>334</v>
      </c>
      <c r="E413" t="s">
        <v>527</v>
      </c>
      <c r="F413" t="s">
        <v>90</v>
      </c>
      <c r="G413">
        <v>1</v>
      </c>
      <c r="H413" s="3">
        <v>1870</v>
      </c>
      <c r="I413" s="3">
        <v>1870</v>
      </c>
      <c r="J413" t="s">
        <v>76</v>
      </c>
      <c r="K413" t="s">
        <v>77</v>
      </c>
      <c r="L413" t="str">
        <f t="shared" si="6"/>
        <v>Tuesday</v>
      </c>
    </row>
    <row r="414" spans="1:12" ht="14.25" customHeight="1" x14ac:dyDescent="0.45">
      <c r="A414" t="s">
        <v>634</v>
      </c>
      <c r="B414" s="2" t="s">
        <v>242</v>
      </c>
      <c r="C414" t="s">
        <v>96</v>
      </c>
      <c r="D414" t="s">
        <v>334</v>
      </c>
      <c r="E414" t="s">
        <v>402</v>
      </c>
      <c r="F414" t="s">
        <v>131</v>
      </c>
      <c r="G414">
        <v>1</v>
      </c>
      <c r="H414" s="3">
        <v>4280</v>
      </c>
      <c r="I414" s="3">
        <v>4280</v>
      </c>
      <c r="J414" t="s">
        <v>76</v>
      </c>
      <c r="K414" t="s">
        <v>83</v>
      </c>
      <c r="L414" t="str">
        <f t="shared" si="6"/>
        <v>Tuesday</v>
      </c>
    </row>
    <row r="415" spans="1:12" ht="14.25" customHeight="1" x14ac:dyDescent="0.45">
      <c r="A415" t="s">
        <v>1060</v>
      </c>
      <c r="B415" s="2" t="s">
        <v>318</v>
      </c>
      <c r="C415" t="s">
        <v>72</v>
      </c>
      <c r="D415" t="s">
        <v>334</v>
      </c>
      <c r="E415" t="s">
        <v>527</v>
      </c>
      <c r="F415" t="s">
        <v>107</v>
      </c>
      <c r="G415">
        <v>1</v>
      </c>
      <c r="H415" s="3">
        <v>1840</v>
      </c>
      <c r="I415" s="3">
        <v>1840</v>
      </c>
      <c r="J415" t="s">
        <v>76</v>
      </c>
      <c r="K415" t="s">
        <v>77</v>
      </c>
      <c r="L415" t="str">
        <f t="shared" si="6"/>
        <v>Monday</v>
      </c>
    </row>
    <row r="416" spans="1:12" ht="14.25" customHeight="1" x14ac:dyDescent="0.45">
      <c r="A416" t="s">
        <v>676</v>
      </c>
      <c r="B416" s="2" t="s">
        <v>139</v>
      </c>
      <c r="C416" t="s">
        <v>96</v>
      </c>
      <c r="D416" t="s">
        <v>334</v>
      </c>
      <c r="E416" t="s">
        <v>527</v>
      </c>
      <c r="F416" t="s">
        <v>123</v>
      </c>
      <c r="G416">
        <v>2</v>
      </c>
      <c r="H416" s="3">
        <v>1970</v>
      </c>
      <c r="I416" s="3">
        <v>3940</v>
      </c>
      <c r="J416" t="s">
        <v>82</v>
      </c>
      <c r="K416" t="s">
        <v>77</v>
      </c>
      <c r="L416" t="str">
        <f t="shared" si="6"/>
        <v>Thursday</v>
      </c>
    </row>
    <row r="417" spans="1:12" ht="14.25" customHeight="1" x14ac:dyDescent="0.45">
      <c r="A417" t="s">
        <v>628</v>
      </c>
      <c r="B417" s="2" t="s">
        <v>133</v>
      </c>
      <c r="C417" t="s">
        <v>80</v>
      </c>
      <c r="D417" t="s">
        <v>334</v>
      </c>
      <c r="E417" t="s">
        <v>402</v>
      </c>
      <c r="F417" t="s">
        <v>75</v>
      </c>
      <c r="G417">
        <v>1</v>
      </c>
      <c r="H417" s="3">
        <v>4300</v>
      </c>
      <c r="I417" s="3">
        <v>4300</v>
      </c>
      <c r="J417" t="s">
        <v>76</v>
      </c>
      <c r="K417" t="s">
        <v>93</v>
      </c>
      <c r="L417" t="str">
        <f t="shared" si="6"/>
        <v>Wednesday</v>
      </c>
    </row>
    <row r="418" spans="1:12" ht="14.25" customHeight="1" x14ac:dyDescent="0.45">
      <c r="A418" t="s">
        <v>382</v>
      </c>
      <c r="B418" s="2" t="s">
        <v>139</v>
      </c>
      <c r="C418" t="s">
        <v>72</v>
      </c>
      <c r="D418" t="s">
        <v>196</v>
      </c>
      <c r="E418" t="s">
        <v>300</v>
      </c>
      <c r="F418" t="s">
        <v>81</v>
      </c>
      <c r="G418">
        <v>3</v>
      </c>
      <c r="H418" s="3">
        <v>4470</v>
      </c>
      <c r="I418" s="3">
        <v>13410</v>
      </c>
      <c r="J418" t="s">
        <v>76</v>
      </c>
      <c r="K418" t="s">
        <v>83</v>
      </c>
      <c r="L418" t="str">
        <f t="shared" si="6"/>
        <v>Thursday</v>
      </c>
    </row>
    <row r="419" spans="1:12" ht="14.25" customHeight="1" x14ac:dyDescent="0.45">
      <c r="A419" t="s">
        <v>1134</v>
      </c>
      <c r="B419" s="2" t="s">
        <v>158</v>
      </c>
      <c r="C419" t="s">
        <v>96</v>
      </c>
      <c r="D419" t="s">
        <v>472</v>
      </c>
      <c r="E419" t="s">
        <v>500</v>
      </c>
      <c r="F419" t="s">
        <v>90</v>
      </c>
      <c r="G419">
        <v>1</v>
      </c>
      <c r="H419" s="3">
        <v>1550</v>
      </c>
      <c r="I419" s="3">
        <v>1550</v>
      </c>
      <c r="J419" t="s">
        <v>76</v>
      </c>
      <c r="K419" t="s">
        <v>83</v>
      </c>
      <c r="L419" t="str">
        <f t="shared" si="6"/>
        <v>Friday</v>
      </c>
    </row>
    <row r="420" spans="1:12" ht="14.25" customHeight="1" x14ac:dyDescent="0.45">
      <c r="A420" t="s">
        <v>758</v>
      </c>
      <c r="B420" s="2" t="s">
        <v>130</v>
      </c>
      <c r="C420" t="s">
        <v>100</v>
      </c>
      <c r="D420" t="s">
        <v>398</v>
      </c>
      <c r="E420" t="s">
        <v>399</v>
      </c>
      <c r="F420" t="s">
        <v>75</v>
      </c>
      <c r="G420">
        <v>1</v>
      </c>
      <c r="H420" s="3">
        <v>3230</v>
      </c>
      <c r="I420" s="3">
        <v>3230</v>
      </c>
      <c r="J420" t="s">
        <v>82</v>
      </c>
      <c r="K420" t="s">
        <v>77</v>
      </c>
      <c r="L420" t="str">
        <f t="shared" si="6"/>
        <v>Monday</v>
      </c>
    </row>
    <row r="421" spans="1:12" ht="14.25" customHeight="1" x14ac:dyDescent="0.45">
      <c r="A421" t="s">
        <v>1128</v>
      </c>
      <c r="B421" s="2" t="s">
        <v>552</v>
      </c>
      <c r="C421" t="s">
        <v>80</v>
      </c>
      <c r="D421" t="s">
        <v>334</v>
      </c>
      <c r="E421" t="s">
        <v>515</v>
      </c>
      <c r="F421" t="s">
        <v>117</v>
      </c>
      <c r="G421">
        <v>1</v>
      </c>
      <c r="H421" s="3">
        <v>1560</v>
      </c>
      <c r="I421" s="3">
        <v>1560</v>
      </c>
      <c r="J421" t="s">
        <v>76</v>
      </c>
      <c r="K421" t="s">
        <v>83</v>
      </c>
      <c r="L421" t="str">
        <f t="shared" si="6"/>
        <v>Saturday</v>
      </c>
    </row>
    <row r="422" spans="1:12" ht="14.25" customHeight="1" x14ac:dyDescent="0.45">
      <c r="A422" t="s">
        <v>499</v>
      </c>
      <c r="B422" s="2" t="s">
        <v>152</v>
      </c>
      <c r="C422" t="s">
        <v>89</v>
      </c>
      <c r="D422" t="s">
        <v>472</v>
      </c>
      <c r="E422" t="s">
        <v>500</v>
      </c>
      <c r="F422" t="s">
        <v>140</v>
      </c>
      <c r="G422">
        <v>4</v>
      </c>
      <c r="H422" s="3">
        <v>1600</v>
      </c>
      <c r="I422" s="3">
        <v>6400</v>
      </c>
      <c r="J422" t="s">
        <v>82</v>
      </c>
      <c r="K422" t="s">
        <v>83</v>
      </c>
      <c r="L422" t="str">
        <f t="shared" si="6"/>
        <v>Monday</v>
      </c>
    </row>
    <row r="423" spans="1:12" ht="14.25" customHeight="1" x14ac:dyDescent="0.45">
      <c r="A423" t="s">
        <v>282</v>
      </c>
      <c r="B423" s="2" t="s">
        <v>283</v>
      </c>
      <c r="C423" t="s">
        <v>80</v>
      </c>
      <c r="D423" t="s">
        <v>196</v>
      </c>
      <c r="E423" t="s">
        <v>246</v>
      </c>
      <c r="F423" t="s">
        <v>123</v>
      </c>
      <c r="G423">
        <v>2</v>
      </c>
      <c r="H423" s="3">
        <v>13090</v>
      </c>
      <c r="I423" s="3">
        <v>26180</v>
      </c>
      <c r="J423" t="s">
        <v>82</v>
      </c>
      <c r="K423" t="s">
        <v>83</v>
      </c>
      <c r="L423" t="str">
        <f t="shared" si="6"/>
        <v>Thursday</v>
      </c>
    </row>
    <row r="424" spans="1:12" ht="14.25" customHeight="1" x14ac:dyDescent="0.45">
      <c r="A424" t="s">
        <v>1000</v>
      </c>
      <c r="B424" s="2" t="s">
        <v>393</v>
      </c>
      <c r="C424" t="s">
        <v>89</v>
      </c>
      <c r="D424" t="s">
        <v>398</v>
      </c>
      <c r="E424" t="s">
        <v>462</v>
      </c>
      <c r="F424" t="s">
        <v>107</v>
      </c>
      <c r="G424">
        <v>1</v>
      </c>
      <c r="H424" s="3">
        <v>2090</v>
      </c>
      <c r="I424" s="3">
        <v>2090</v>
      </c>
      <c r="J424" t="s">
        <v>76</v>
      </c>
      <c r="K424" t="s">
        <v>93</v>
      </c>
      <c r="L424" t="str">
        <f t="shared" si="6"/>
        <v>Tuesday</v>
      </c>
    </row>
    <row r="425" spans="1:12" ht="14.25" customHeight="1" x14ac:dyDescent="0.45">
      <c r="A425" t="s">
        <v>120</v>
      </c>
      <c r="B425" s="2" t="s">
        <v>92</v>
      </c>
      <c r="C425" t="s">
        <v>100</v>
      </c>
      <c r="D425" t="s">
        <v>73</v>
      </c>
      <c r="E425" t="s">
        <v>104</v>
      </c>
      <c r="F425" t="s">
        <v>97</v>
      </c>
      <c r="G425">
        <v>2</v>
      </c>
      <c r="H425" s="3">
        <v>55720</v>
      </c>
      <c r="I425" s="3">
        <v>111440</v>
      </c>
      <c r="J425" t="s">
        <v>82</v>
      </c>
      <c r="K425" t="s">
        <v>93</v>
      </c>
      <c r="L425" t="str">
        <f t="shared" si="6"/>
        <v>Saturday</v>
      </c>
    </row>
    <row r="426" spans="1:12" ht="14.25" customHeight="1" x14ac:dyDescent="0.45">
      <c r="A426" t="s">
        <v>794</v>
      </c>
      <c r="B426" s="2" t="s">
        <v>188</v>
      </c>
      <c r="C426" t="s">
        <v>89</v>
      </c>
      <c r="D426" t="s">
        <v>472</v>
      </c>
      <c r="E426" t="s">
        <v>497</v>
      </c>
      <c r="F426" t="s">
        <v>90</v>
      </c>
      <c r="G426">
        <v>1</v>
      </c>
      <c r="H426" s="3">
        <v>3150</v>
      </c>
      <c r="I426" s="3">
        <v>3150</v>
      </c>
      <c r="J426" t="s">
        <v>82</v>
      </c>
      <c r="K426" t="s">
        <v>77</v>
      </c>
      <c r="L426" t="str">
        <f t="shared" si="6"/>
        <v>Saturday</v>
      </c>
    </row>
    <row r="427" spans="1:12" ht="14.25" customHeight="1" x14ac:dyDescent="0.45">
      <c r="A427" t="s">
        <v>610</v>
      </c>
      <c r="B427" s="2" t="s">
        <v>369</v>
      </c>
      <c r="C427" t="s">
        <v>96</v>
      </c>
      <c r="D427" t="s">
        <v>398</v>
      </c>
      <c r="E427" t="s">
        <v>448</v>
      </c>
      <c r="F427" t="s">
        <v>86</v>
      </c>
      <c r="G427">
        <v>2</v>
      </c>
      <c r="H427" s="3">
        <v>2190</v>
      </c>
      <c r="I427" s="3">
        <v>4380</v>
      </c>
      <c r="J427" t="s">
        <v>76</v>
      </c>
      <c r="K427" t="s">
        <v>93</v>
      </c>
      <c r="L427" t="str">
        <f t="shared" si="6"/>
        <v>Monday</v>
      </c>
    </row>
    <row r="428" spans="1:12" ht="14.25" customHeight="1" x14ac:dyDescent="0.45">
      <c r="A428" t="s">
        <v>1014</v>
      </c>
      <c r="B428" s="2" t="s">
        <v>374</v>
      </c>
      <c r="C428" t="s">
        <v>89</v>
      </c>
      <c r="D428" t="s">
        <v>334</v>
      </c>
      <c r="E428" t="s">
        <v>527</v>
      </c>
      <c r="F428" t="s">
        <v>107</v>
      </c>
      <c r="G428">
        <v>1</v>
      </c>
      <c r="H428" s="3">
        <v>1960</v>
      </c>
      <c r="I428" s="3">
        <v>1960</v>
      </c>
      <c r="J428" t="s">
        <v>76</v>
      </c>
      <c r="K428" t="s">
        <v>93</v>
      </c>
      <c r="L428" t="str">
        <f t="shared" si="6"/>
        <v>Wednesday</v>
      </c>
    </row>
    <row r="429" spans="1:12" ht="14.25" customHeight="1" x14ac:dyDescent="0.45">
      <c r="A429" t="s">
        <v>914</v>
      </c>
      <c r="B429" s="2" t="s">
        <v>414</v>
      </c>
      <c r="C429" t="s">
        <v>96</v>
      </c>
      <c r="D429" t="s">
        <v>472</v>
      </c>
      <c r="E429" t="s">
        <v>473</v>
      </c>
      <c r="F429" t="s">
        <v>81</v>
      </c>
      <c r="G429">
        <v>1</v>
      </c>
      <c r="H429" s="3">
        <v>2420</v>
      </c>
      <c r="I429" s="3">
        <v>2420</v>
      </c>
      <c r="J429" t="s">
        <v>82</v>
      </c>
      <c r="K429" t="s">
        <v>77</v>
      </c>
      <c r="L429" t="str">
        <f t="shared" si="6"/>
        <v>Friday</v>
      </c>
    </row>
    <row r="430" spans="1:12" ht="14.25" customHeight="1" x14ac:dyDescent="0.45">
      <c r="A430" t="s">
        <v>776</v>
      </c>
      <c r="B430" s="2" t="s">
        <v>103</v>
      </c>
      <c r="C430" t="s">
        <v>89</v>
      </c>
      <c r="D430" t="s">
        <v>472</v>
      </c>
      <c r="E430" t="s">
        <v>500</v>
      </c>
      <c r="F430" t="s">
        <v>107</v>
      </c>
      <c r="G430">
        <v>2</v>
      </c>
      <c r="H430" s="3">
        <v>1590</v>
      </c>
      <c r="I430" s="3">
        <v>3180</v>
      </c>
      <c r="J430" t="s">
        <v>82</v>
      </c>
      <c r="K430" t="s">
        <v>83</v>
      </c>
      <c r="L430" t="str">
        <f t="shared" si="6"/>
        <v>Thursday</v>
      </c>
    </row>
    <row r="431" spans="1:12" ht="14.25" customHeight="1" x14ac:dyDescent="0.45">
      <c r="A431" t="s">
        <v>1213</v>
      </c>
      <c r="B431" s="2" t="s">
        <v>562</v>
      </c>
      <c r="C431" t="s">
        <v>96</v>
      </c>
      <c r="D431" t="s">
        <v>472</v>
      </c>
      <c r="E431" t="s">
        <v>557</v>
      </c>
      <c r="F431" t="s">
        <v>86</v>
      </c>
      <c r="G431">
        <v>1</v>
      </c>
      <c r="H431" s="3">
        <v>1170</v>
      </c>
      <c r="I431" s="3">
        <v>1170</v>
      </c>
      <c r="J431" t="s">
        <v>76</v>
      </c>
      <c r="K431" t="s">
        <v>77</v>
      </c>
      <c r="L431" t="str">
        <f t="shared" si="6"/>
        <v>Saturday</v>
      </c>
    </row>
    <row r="432" spans="1:12" ht="14.25" customHeight="1" x14ac:dyDescent="0.45">
      <c r="A432" t="s">
        <v>1123</v>
      </c>
      <c r="B432" s="2" t="s">
        <v>289</v>
      </c>
      <c r="C432" t="s">
        <v>96</v>
      </c>
      <c r="D432" t="s">
        <v>472</v>
      </c>
      <c r="E432" t="s">
        <v>500</v>
      </c>
      <c r="F432" t="s">
        <v>86</v>
      </c>
      <c r="G432">
        <v>1</v>
      </c>
      <c r="H432" s="3">
        <v>1580</v>
      </c>
      <c r="I432" s="3">
        <v>1580</v>
      </c>
      <c r="J432" t="s">
        <v>76</v>
      </c>
      <c r="K432" t="s">
        <v>77</v>
      </c>
      <c r="L432" t="str">
        <f t="shared" si="6"/>
        <v>Thursday</v>
      </c>
    </row>
    <row r="433" spans="1:12" ht="14.25" customHeight="1" x14ac:dyDescent="0.45">
      <c r="A433" t="s">
        <v>874</v>
      </c>
      <c r="B433" s="2" t="s">
        <v>200</v>
      </c>
      <c r="C433" t="s">
        <v>96</v>
      </c>
      <c r="D433" t="s">
        <v>398</v>
      </c>
      <c r="E433" t="s">
        <v>464</v>
      </c>
      <c r="F433" t="s">
        <v>123</v>
      </c>
      <c r="G433">
        <v>1</v>
      </c>
      <c r="H433" s="3">
        <v>2630</v>
      </c>
      <c r="I433" s="3">
        <v>2630</v>
      </c>
      <c r="J433" t="s">
        <v>76</v>
      </c>
      <c r="K433" t="s">
        <v>93</v>
      </c>
      <c r="L433" t="str">
        <f t="shared" si="6"/>
        <v>Thursday</v>
      </c>
    </row>
    <row r="434" spans="1:12" ht="14.25" customHeight="1" x14ac:dyDescent="0.45">
      <c r="A434" t="s">
        <v>224</v>
      </c>
      <c r="B434" s="2" t="s">
        <v>225</v>
      </c>
      <c r="C434" t="s">
        <v>100</v>
      </c>
      <c r="D434" t="s">
        <v>73</v>
      </c>
      <c r="E434" t="s">
        <v>101</v>
      </c>
      <c r="F434" t="s">
        <v>140</v>
      </c>
      <c r="G434">
        <v>1</v>
      </c>
      <c r="H434" s="3">
        <v>43220</v>
      </c>
      <c r="I434" s="3">
        <v>43220</v>
      </c>
      <c r="J434" t="s">
        <v>76</v>
      </c>
      <c r="K434" t="s">
        <v>93</v>
      </c>
      <c r="L434" t="str">
        <f t="shared" si="6"/>
        <v>Sunday</v>
      </c>
    </row>
    <row r="435" spans="1:12" ht="14.25" customHeight="1" x14ac:dyDescent="0.45">
      <c r="A435" t="s">
        <v>546</v>
      </c>
      <c r="B435" s="2" t="s">
        <v>513</v>
      </c>
      <c r="C435" t="s">
        <v>100</v>
      </c>
      <c r="D435" t="s">
        <v>398</v>
      </c>
      <c r="E435" t="s">
        <v>464</v>
      </c>
      <c r="F435" t="s">
        <v>123</v>
      </c>
      <c r="G435">
        <v>2</v>
      </c>
      <c r="H435" s="3">
        <v>2530</v>
      </c>
      <c r="I435" s="3">
        <v>5060</v>
      </c>
      <c r="J435" t="s">
        <v>82</v>
      </c>
      <c r="K435" t="s">
        <v>77</v>
      </c>
      <c r="L435" t="str">
        <f t="shared" si="6"/>
        <v>Friday</v>
      </c>
    </row>
    <row r="436" spans="1:12" ht="14.25" customHeight="1" x14ac:dyDescent="0.45">
      <c r="A436" t="s">
        <v>1037</v>
      </c>
      <c r="B436" s="2" t="s">
        <v>376</v>
      </c>
      <c r="C436" t="s">
        <v>96</v>
      </c>
      <c r="D436" t="s">
        <v>334</v>
      </c>
      <c r="E436" t="s">
        <v>527</v>
      </c>
      <c r="F436" t="s">
        <v>75</v>
      </c>
      <c r="G436">
        <v>1</v>
      </c>
      <c r="H436" s="3">
        <v>1890</v>
      </c>
      <c r="I436" s="3">
        <v>1890</v>
      </c>
      <c r="J436" t="s">
        <v>76</v>
      </c>
      <c r="K436" t="s">
        <v>83</v>
      </c>
      <c r="L436" t="str">
        <f t="shared" si="6"/>
        <v>Friday</v>
      </c>
    </row>
    <row r="437" spans="1:12" ht="14.25" customHeight="1" x14ac:dyDescent="0.45">
      <c r="A437" t="s">
        <v>720</v>
      </c>
      <c r="B437" s="2" t="s">
        <v>354</v>
      </c>
      <c r="C437" t="s">
        <v>96</v>
      </c>
      <c r="D437" t="s">
        <v>73</v>
      </c>
      <c r="E437" t="s">
        <v>443</v>
      </c>
      <c r="F437" t="s">
        <v>81</v>
      </c>
      <c r="G437">
        <v>1</v>
      </c>
      <c r="H437" s="3">
        <v>3630</v>
      </c>
      <c r="I437" s="3">
        <v>3630</v>
      </c>
      <c r="J437" t="s">
        <v>76</v>
      </c>
      <c r="K437" t="s">
        <v>83</v>
      </c>
      <c r="L437" t="str">
        <f t="shared" si="6"/>
        <v>Thursday</v>
      </c>
    </row>
    <row r="438" spans="1:12" ht="14.25" customHeight="1" x14ac:dyDescent="0.45">
      <c r="A438" t="s">
        <v>928</v>
      </c>
      <c r="B438" s="2" t="s">
        <v>106</v>
      </c>
      <c r="C438" t="s">
        <v>89</v>
      </c>
      <c r="D438" t="s">
        <v>472</v>
      </c>
      <c r="E438" t="s">
        <v>473</v>
      </c>
      <c r="F438" t="s">
        <v>86</v>
      </c>
      <c r="G438">
        <v>1</v>
      </c>
      <c r="H438" s="3">
        <v>2380</v>
      </c>
      <c r="I438" s="3">
        <v>2380</v>
      </c>
      <c r="J438" t="s">
        <v>76</v>
      </c>
      <c r="K438" t="s">
        <v>93</v>
      </c>
      <c r="L438" t="str">
        <f t="shared" si="6"/>
        <v>Friday</v>
      </c>
    </row>
    <row r="439" spans="1:12" ht="14.25" customHeight="1" x14ac:dyDescent="0.45">
      <c r="A439" t="s">
        <v>785</v>
      </c>
      <c r="B439" s="2" t="s">
        <v>71</v>
      </c>
      <c r="C439" t="s">
        <v>96</v>
      </c>
      <c r="D439" t="s">
        <v>472</v>
      </c>
      <c r="E439" t="s">
        <v>497</v>
      </c>
      <c r="F439" t="s">
        <v>131</v>
      </c>
      <c r="G439">
        <v>1</v>
      </c>
      <c r="H439" s="3">
        <v>3160</v>
      </c>
      <c r="I439" s="3">
        <v>3160</v>
      </c>
      <c r="J439" t="s">
        <v>82</v>
      </c>
      <c r="K439" t="s">
        <v>77</v>
      </c>
      <c r="L439" t="str">
        <f t="shared" si="6"/>
        <v>Friday</v>
      </c>
    </row>
    <row r="440" spans="1:12" ht="14.25" customHeight="1" x14ac:dyDescent="0.45">
      <c r="A440" t="s">
        <v>1051</v>
      </c>
      <c r="B440" s="2" t="s">
        <v>326</v>
      </c>
      <c r="C440" t="s">
        <v>96</v>
      </c>
      <c r="D440" t="s">
        <v>472</v>
      </c>
      <c r="E440" t="s">
        <v>691</v>
      </c>
      <c r="F440" t="s">
        <v>131</v>
      </c>
      <c r="G440">
        <v>2</v>
      </c>
      <c r="H440" s="3">
        <v>930</v>
      </c>
      <c r="I440" s="3">
        <v>1860</v>
      </c>
      <c r="J440" t="s">
        <v>76</v>
      </c>
      <c r="K440" t="s">
        <v>93</v>
      </c>
      <c r="L440" t="str">
        <f t="shared" si="6"/>
        <v>Saturday</v>
      </c>
    </row>
    <row r="441" spans="1:12" ht="14.25" customHeight="1" x14ac:dyDescent="0.45">
      <c r="A441" t="s">
        <v>799</v>
      </c>
      <c r="B441" s="2" t="s">
        <v>453</v>
      </c>
      <c r="C441" t="s">
        <v>96</v>
      </c>
      <c r="D441" t="s">
        <v>398</v>
      </c>
      <c r="E441" t="s">
        <v>399</v>
      </c>
      <c r="F441" t="s">
        <v>86</v>
      </c>
      <c r="G441">
        <v>1</v>
      </c>
      <c r="H441" s="3">
        <v>3130</v>
      </c>
      <c r="I441" s="3">
        <v>3130</v>
      </c>
      <c r="J441" t="s">
        <v>82</v>
      </c>
      <c r="K441" t="s">
        <v>77</v>
      </c>
      <c r="L441" t="str">
        <f t="shared" si="6"/>
        <v>Tuesday</v>
      </c>
    </row>
    <row r="442" spans="1:12" ht="14.25" customHeight="1" x14ac:dyDescent="0.45">
      <c r="A442" t="s">
        <v>222</v>
      </c>
      <c r="B442" s="2" t="s">
        <v>223</v>
      </c>
      <c r="C442" t="s">
        <v>89</v>
      </c>
      <c r="D442" t="s">
        <v>73</v>
      </c>
      <c r="E442" t="s">
        <v>101</v>
      </c>
      <c r="F442" t="s">
        <v>86</v>
      </c>
      <c r="G442">
        <v>1</v>
      </c>
      <c r="H442" s="3">
        <v>43380</v>
      </c>
      <c r="I442" s="3">
        <v>43380</v>
      </c>
      <c r="J442" t="s">
        <v>76</v>
      </c>
      <c r="K442" t="s">
        <v>83</v>
      </c>
      <c r="L442" t="str">
        <f t="shared" si="6"/>
        <v>Wednesday</v>
      </c>
    </row>
    <row r="443" spans="1:12" ht="14.25" customHeight="1" x14ac:dyDescent="0.45">
      <c r="A443" t="s">
        <v>1214</v>
      </c>
      <c r="B443" s="2" t="s">
        <v>326</v>
      </c>
      <c r="C443" t="s">
        <v>80</v>
      </c>
      <c r="D443" t="s">
        <v>472</v>
      </c>
      <c r="E443" t="s">
        <v>557</v>
      </c>
      <c r="F443" t="s">
        <v>123</v>
      </c>
      <c r="G443">
        <v>1</v>
      </c>
      <c r="H443" s="3">
        <v>1170</v>
      </c>
      <c r="I443" s="3">
        <v>1170</v>
      </c>
      <c r="J443" t="s">
        <v>76</v>
      </c>
      <c r="K443" t="s">
        <v>93</v>
      </c>
      <c r="L443" t="str">
        <f t="shared" si="6"/>
        <v>Saturday</v>
      </c>
    </row>
    <row r="444" spans="1:12" ht="14.25" customHeight="1" x14ac:dyDescent="0.45">
      <c r="A444" t="s">
        <v>1084</v>
      </c>
      <c r="B444" s="2" t="s">
        <v>337</v>
      </c>
      <c r="C444" t="s">
        <v>80</v>
      </c>
      <c r="D444" t="s">
        <v>398</v>
      </c>
      <c r="E444" t="s">
        <v>475</v>
      </c>
      <c r="F444" t="s">
        <v>131</v>
      </c>
      <c r="G444">
        <v>1</v>
      </c>
      <c r="H444" s="3">
        <v>1760</v>
      </c>
      <c r="I444" s="3">
        <v>1760</v>
      </c>
      <c r="J444" t="s">
        <v>82</v>
      </c>
      <c r="K444" t="s">
        <v>93</v>
      </c>
      <c r="L444" t="str">
        <f t="shared" si="6"/>
        <v>Monday</v>
      </c>
    </row>
    <row r="445" spans="1:12" ht="14.25" customHeight="1" x14ac:dyDescent="0.45">
      <c r="A445" t="s">
        <v>1111</v>
      </c>
      <c r="B445" s="2" t="s">
        <v>200</v>
      </c>
      <c r="C445" t="s">
        <v>100</v>
      </c>
      <c r="D445" t="s">
        <v>472</v>
      </c>
      <c r="E445" t="s">
        <v>500</v>
      </c>
      <c r="F445" t="s">
        <v>107</v>
      </c>
      <c r="G445">
        <v>1</v>
      </c>
      <c r="H445" s="3">
        <v>1620</v>
      </c>
      <c r="I445" s="3">
        <v>1620</v>
      </c>
      <c r="J445" t="s">
        <v>76</v>
      </c>
      <c r="K445" t="s">
        <v>83</v>
      </c>
      <c r="L445" t="str">
        <f t="shared" si="6"/>
        <v>Thursday</v>
      </c>
    </row>
    <row r="446" spans="1:12" ht="14.25" customHeight="1" x14ac:dyDescent="0.45">
      <c r="A446" t="s">
        <v>854</v>
      </c>
      <c r="B446" s="2" t="s">
        <v>307</v>
      </c>
      <c r="C446" t="s">
        <v>80</v>
      </c>
      <c r="D446" t="s">
        <v>472</v>
      </c>
      <c r="E446" t="s">
        <v>691</v>
      </c>
      <c r="F446" t="s">
        <v>90</v>
      </c>
      <c r="G446">
        <v>3</v>
      </c>
      <c r="H446" s="3">
        <v>930</v>
      </c>
      <c r="I446" s="3">
        <v>2790</v>
      </c>
      <c r="J446" t="s">
        <v>76</v>
      </c>
      <c r="K446" t="s">
        <v>83</v>
      </c>
      <c r="L446" t="str">
        <f t="shared" si="6"/>
        <v>Sunday</v>
      </c>
    </row>
    <row r="447" spans="1:12" ht="14.25" customHeight="1" x14ac:dyDescent="0.45">
      <c r="A447" t="s">
        <v>94</v>
      </c>
      <c r="B447" s="2" t="s">
        <v>95</v>
      </c>
      <c r="C447" t="s">
        <v>96</v>
      </c>
      <c r="D447" t="s">
        <v>73</v>
      </c>
      <c r="E447" t="s">
        <v>74</v>
      </c>
      <c r="F447" t="s">
        <v>97</v>
      </c>
      <c r="G447">
        <v>2</v>
      </c>
      <c r="H447" s="3">
        <v>91570</v>
      </c>
      <c r="I447" s="3">
        <v>183140</v>
      </c>
      <c r="J447" t="s">
        <v>76</v>
      </c>
      <c r="K447" t="s">
        <v>77</v>
      </c>
      <c r="L447" t="str">
        <f t="shared" si="6"/>
        <v>Tuesday</v>
      </c>
    </row>
    <row r="448" spans="1:12" ht="14.25" customHeight="1" x14ac:dyDescent="0.45">
      <c r="A448" t="s">
        <v>1113</v>
      </c>
      <c r="B448" s="2" t="s">
        <v>791</v>
      </c>
      <c r="C448" t="s">
        <v>100</v>
      </c>
      <c r="D448" t="s">
        <v>472</v>
      </c>
      <c r="E448" t="s">
        <v>500</v>
      </c>
      <c r="F448" t="s">
        <v>140</v>
      </c>
      <c r="G448">
        <v>1</v>
      </c>
      <c r="H448" s="3">
        <v>1610</v>
      </c>
      <c r="I448" s="3">
        <v>1610</v>
      </c>
      <c r="J448" t="s">
        <v>76</v>
      </c>
      <c r="K448" t="s">
        <v>83</v>
      </c>
      <c r="L448" t="str">
        <f t="shared" si="6"/>
        <v>Friday</v>
      </c>
    </row>
    <row r="449" spans="1:12" ht="14.25" customHeight="1" x14ac:dyDescent="0.45">
      <c r="A449" t="s">
        <v>876</v>
      </c>
      <c r="B449" s="2" t="s">
        <v>177</v>
      </c>
      <c r="C449" t="s">
        <v>72</v>
      </c>
      <c r="D449" t="s">
        <v>398</v>
      </c>
      <c r="E449" t="s">
        <v>464</v>
      </c>
      <c r="F449" t="s">
        <v>90</v>
      </c>
      <c r="G449">
        <v>1</v>
      </c>
      <c r="H449" s="3">
        <v>2610</v>
      </c>
      <c r="I449" s="3">
        <v>2610</v>
      </c>
      <c r="J449" t="s">
        <v>82</v>
      </c>
      <c r="K449" t="s">
        <v>93</v>
      </c>
      <c r="L449" t="str">
        <f t="shared" si="6"/>
        <v>Tuesday</v>
      </c>
    </row>
    <row r="450" spans="1:12" ht="14.25" customHeight="1" x14ac:dyDescent="0.45">
      <c r="A450" t="s">
        <v>1106</v>
      </c>
      <c r="B450" s="2" t="s">
        <v>578</v>
      </c>
      <c r="C450" t="s">
        <v>89</v>
      </c>
      <c r="D450" t="s">
        <v>472</v>
      </c>
      <c r="E450" t="s">
        <v>500</v>
      </c>
      <c r="F450" t="s">
        <v>107</v>
      </c>
      <c r="G450">
        <v>1</v>
      </c>
      <c r="H450" s="3">
        <v>1630</v>
      </c>
      <c r="I450" s="3">
        <v>1630</v>
      </c>
      <c r="J450" t="s">
        <v>76</v>
      </c>
      <c r="K450" t="s">
        <v>83</v>
      </c>
      <c r="L450" t="str">
        <f t="shared" ref="L450:L513" si="7">TEXT(B450,"dddd")</f>
        <v>Friday</v>
      </c>
    </row>
    <row r="451" spans="1:12" ht="14.25" customHeight="1" x14ac:dyDescent="0.45">
      <c r="A451" t="s">
        <v>459</v>
      </c>
      <c r="B451" s="2" t="s">
        <v>389</v>
      </c>
      <c r="C451" t="s">
        <v>100</v>
      </c>
      <c r="D451" t="s">
        <v>334</v>
      </c>
      <c r="E451" t="s">
        <v>402</v>
      </c>
      <c r="F451" t="s">
        <v>75</v>
      </c>
      <c r="G451">
        <v>2</v>
      </c>
      <c r="H451" s="3">
        <v>4120</v>
      </c>
      <c r="I451" s="3">
        <v>8240</v>
      </c>
      <c r="J451" t="s">
        <v>82</v>
      </c>
      <c r="K451" t="s">
        <v>93</v>
      </c>
      <c r="L451" t="str">
        <f t="shared" si="7"/>
        <v>Tuesday</v>
      </c>
    </row>
    <row r="452" spans="1:12" ht="14.25" customHeight="1" x14ac:dyDescent="0.45">
      <c r="A452" t="s">
        <v>1179</v>
      </c>
      <c r="B452" s="2" t="s">
        <v>571</v>
      </c>
      <c r="C452" t="s">
        <v>100</v>
      </c>
      <c r="D452" t="s">
        <v>472</v>
      </c>
      <c r="E452" t="s">
        <v>557</v>
      </c>
      <c r="F452" t="s">
        <v>123</v>
      </c>
      <c r="G452">
        <v>1</v>
      </c>
      <c r="H452" s="3">
        <v>1230</v>
      </c>
      <c r="I452" s="3">
        <v>1230</v>
      </c>
      <c r="J452" t="s">
        <v>76</v>
      </c>
      <c r="K452" t="s">
        <v>83</v>
      </c>
      <c r="L452" t="str">
        <f t="shared" si="7"/>
        <v>Saturday</v>
      </c>
    </row>
    <row r="453" spans="1:12" ht="14.25" customHeight="1" x14ac:dyDescent="0.45">
      <c r="A453" t="s">
        <v>833</v>
      </c>
      <c r="B453" s="2" t="s">
        <v>648</v>
      </c>
      <c r="C453" t="s">
        <v>96</v>
      </c>
      <c r="D453" t="s">
        <v>472</v>
      </c>
      <c r="E453" t="s">
        <v>497</v>
      </c>
      <c r="F453" t="s">
        <v>90</v>
      </c>
      <c r="G453">
        <v>1</v>
      </c>
      <c r="H453" s="3">
        <v>3020</v>
      </c>
      <c r="I453" s="3">
        <v>3020</v>
      </c>
      <c r="J453" t="s">
        <v>82</v>
      </c>
      <c r="K453" t="s">
        <v>83</v>
      </c>
      <c r="L453" t="str">
        <f t="shared" si="7"/>
        <v>Monday</v>
      </c>
    </row>
    <row r="454" spans="1:12" ht="14.25" customHeight="1" x14ac:dyDescent="0.45">
      <c r="A454" t="s">
        <v>1192</v>
      </c>
      <c r="B454" s="2" t="s">
        <v>658</v>
      </c>
      <c r="C454" t="s">
        <v>89</v>
      </c>
      <c r="D454" t="s">
        <v>472</v>
      </c>
      <c r="E454" t="s">
        <v>557</v>
      </c>
      <c r="F454" t="s">
        <v>81</v>
      </c>
      <c r="G454">
        <v>1</v>
      </c>
      <c r="H454" s="3">
        <v>1210</v>
      </c>
      <c r="I454" s="3">
        <v>1210</v>
      </c>
      <c r="J454" t="s">
        <v>76</v>
      </c>
      <c r="K454" t="s">
        <v>93</v>
      </c>
      <c r="L454" t="str">
        <f t="shared" si="7"/>
        <v>Wednesday</v>
      </c>
    </row>
    <row r="455" spans="1:12" ht="14.25" customHeight="1" x14ac:dyDescent="0.45">
      <c r="A455" t="s">
        <v>625</v>
      </c>
      <c r="B455" s="2" t="s">
        <v>146</v>
      </c>
      <c r="C455" t="s">
        <v>72</v>
      </c>
      <c r="D455" t="s">
        <v>398</v>
      </c>
      <c r="E455" t="s">
        <v>448</v>
      </c>
      <c r="F455" t="s">
        <v>75</v>
      </c>
      <c r="G455">
        <v>2</v>
      </c>
      <c r="H455" s="3">
        <v>2160</v>
      </c>
      <c r="I455" s="3">
        <v>4320</v>
      </c>
      <c r="J455" t="s">
        <v>76</v>
      </c>
      <c r="K455" t="s">
        <v>83</v>
      </c>
      <c r="L455" t="str">
        <f t="shared" si="7"/>
        <v>Saturday</v>
      </c>
    </row>
    <row r="456" spans="1:12" ht="14.25" customHeight="1" x14ac:dyDescent="0.45">
      <c r="A456" t="s">
        <v>613</v>
      </c>
      <c r="B456" s="2" t="s">
        <v>127</v>
      </c>
      <c r="C456" t="s">
        <v>100</v>
      </c>
      <c r="D456" t="s">
        <v>398</v>
      </c>
      <c r="E456" t="s">
        <v>462</v>
      </c>
      <c r="F456" t="s">
        <v>75</v>
      </c>
      <c r="G456">
        <v>2</v>
      </c>
      <c r="H456" s="3">
        <v>2180</v>
      </c>
      <c r="I456" s="3">
        <v>4360</v>
      </c>
      <c r="J456" t="s">
        <v>82</v>
      </c>
      <c r="K456" t="s">
        <v>93</v>
      </c>
      <c r="L456" t="str">
        <f t="shared" si="7"/>
        <v>Saturday</v>
      </c>
    </row>
    <row r="457" spans="1:12" ht="14.25" customHeight="1" x14ac:dyDescent="0.45">
      <c r="A457" t="s">
        <v>110</v>
      </c>
      <c r="B457" s="2" t="s">
        <v>111</v>
      </c>
      <c r="C457" t="s">
        <v>96</v>
      </c>
      <c r="D457" t="s">
        <v>73</v>
      </c>
      <c r="E457" t="s">
        <v>101</v>
      </c>
      <c r="F457" t="s">
        <v>97</v>
      </c>
      <c r="G457">
        <v>3</v>
      </c>
      <c r="H457" s="3">
        <v>41240</v>
      </c>
      <c r="I457" s="3">
        <v>123720</v>
      </c>
      <c r="J457" t="s">
        <v>76</v>
      </c>
      <c r="K457" t="s">
        <v>93</v>
      </c>
      <c r="L457" t="str">
        <f t="shared" si="7"/>
        <v>Monday</v>
      </c>
    </row>
    <row r="458" spans="1:12" ht="14.25" customHeight="1" x14ac:dyDescent="0.45">
      <c r="A458" t="s">
        <v>143</v>
      </c>
      <c r="B458" s="2" t="s">
        <v>99</v>
      </c>
      <c r="C458" t="s">
        <v>100</v>
      </c>
      <c r="D458" t="s">
        <v>73</v>
      </c>
      <c r="E458" t="s">
        <v>74</v>
      </c>
      <c r="F458" t="s">
        <v>140</v>
      </c>
      <c r="G458">
        <v>1</v>
      </c>
      <c r="H458" s="3">
        <v>96890</v>
      </c>
      <c r="I458" s="3">
        <v>96890</v>
      </c>
      <c r="J458" t="s">
        <v>82</v>
      </c>
      <c r="K458" t="s">
        <v>77</v>
      </c>
      <c r="L458" t="str">
        <f t="shared" si="7"/>
        <v>Saturday</v>
      </c>
    </row>
    <row r="459" spans="1:12" ht="14.25" customHeight="1" x14ac:dyDescent="0.45">
      <c r="A459" t="s">
        <v>520</v>
      </c>
      <c r="B459" s="2" t="s">
        <v>225</v>
      </c>
      <c r="C459" t="s">
        <v>100</v>
      </c>
      <c r="D459" t="s">
        <v>472</v>
      </c>
      <c r="E459" t="s">
        <v>497</v>
      </c>
      <c r="F459" t="s">
        <v>90</v>
      </c>
      <c r="G459">
        <v>2</v>
      </c>
      <c r="H459" s="3">
        <v>3020</v>
      </c>
      <c r="I459" s="3">
        <v>6040</v>
      </c>
      <c r="J459" t="s">
        <v>82</v>
      </c>
      <c r="K459" t="s">
        <v>83</v>
      </c>
      <c r="L459" t="str">
        <f t="shared" si="7"/>
        <v>Sunday</v>
      </c>
    </row>
    <row r="460" spans="1:12" ht="14.25" customHeight="1" x14ac:dyDescent="0.45">
      <c r="A460" t="s">
        <v>1143</v>
      </c>
      <c r="B460" s="2" t="s">
        <v>544</v>
      </c>
      <c r="C460" t="s">
        <v>89</v>
      </c>
      <c r="D460" t="s">
        <v>334</v>
      </c>
      <c r="E460" t="s">
        <v>515</v>
      </c>
      <c r="F460" t="s">
        <v>107</v>
      </c>
      <c r="G460">
        <v>1</v>
      </c>
      <c r="H460" s="3">
        <v>1530</v>
      </c>
      <c r="I460" s="3">
        <v>1530</v>
      </c>
      <c r="J460" t="s">
        <v>82</v>
      </c>
      <c r="K460" t="s">
        <v>93</v>
      </c>
      <c r="L460" t="str">
        <f t="shared" si="7"/>
        <v>Sunday</v>
      </c>
    </row>
    <row r="461" spans="1:12" ht="14.25" customHeight="1" x14ac:dyDescent="0.45">
      <c r="A461" t="s">
        <v>340</v>
      </c>
      <c r="B461" s="2" t="s">
        <v>162</v>
      </c>
      <c r="C461" t="s">
        <v>89</v>
      </c>
      <c r="D461" t="s">
        <v>334</v>
      </c>
      <c r="E461" t="s">
        <v>335</v>
      </c>
      <c r="F461" t="s">
        <v>140</v>
      </c>
      <c r="G461">
        <v>4</v>
      </c>
      <c r="H461" s="3">
        <v>3910</v>
      </c>
      <c r="I461" s="3">
        <v>15640</v>
      </c>
      <c r="J461" t="s">
        <v>82</v>
      </c>
      <c r="K461" t="s">
        <v>93</v>
      </c>
      <c r="L461" t="str">
        <f t="shared" si="7"/>
        <v>Sunday</v>
      </c>
    </row>
    <row r="462" spans="1:12" ht="14.25" customHeight="1" x14ac:dyDescent="0.45">
      <c r="A462" t="s">
        <v>840</v>
      </c>
      <c r="B462" s="2" t="s">
        <v>627</v>
      </c>
      <c r="C462" t="s">
        <v>96</v>
      </c>
      <c r="D462" t="s">
        <v>334</v>
      </c>
      <c r="E462" t="s">
        <v>515</v>
      </c>
      <c r="F462" t="s">
        <v>81</v>
      </c>
      <c r="G462">
        <v>2</v>
      </c>
      <c r="H462" s="3">
        <v>1450</v>
      </c>
      <c r="I462" s="3">
        <v>2900</v>
      </c>
      <c r="J462" t="s">
        <v>82</v>
      </c>
      <c r="K462" t="s">
        <v>83</v>
      </c>
      <c r="L462" t="str">
        <f t="shared" si="7"/>
        <v>Friday</v>
      </c>
    </row>
    <row r="463" spans="1:12" ht="14.25" customHeight="1" x14ac:dyDescent="0.45">
      <c r="A463" t="s">
        <v>1054</v>
      </c>
      <c r="B463" s="2" t="s">
        <v>597</v>
      </c>
      <c r="C463" t="s">
        <v>96</v>
      </c>
      <c r="D463" t="s">
        <v>334</v>
      </c>
      <c r="E463" t="s">
        <v>527</v>
      </c>
      <c r="F463" t="s">
        <v>75</v>
      </c>
      <c r="G463">
        <v>1</v>
      </c>
      <c r="H463" s="3">
        <v>1850</v>
      </c>
      <c r="I463" s="3">
        <v>1850</v>
      </c>
      <c r="J463" t="s">
        <v>76</v>
      </c>
      <c r="K463" t="s">
        <v>83</v>
      </c>
      <c r="L463" t="str">
        <f t="shared" si="7"/>
        <v>Tuesday</v>
      </c>
    </row>
    <row r="464" spans="1:12" ht="14.25" customHeight="1" x14ac:dyDescent="0.45">
      <c r="A464" t="s">
        <v>900</v>
      </c>
      <c r="B464" s="2" t="s">
        <v>381</v>
      </c>
      <c r="C464" t="s">
        <v>89</v>
      </c>
      <c r="D464" t="s">
        <v>472</v>
      </c>
      <c r="E464" t="s">
        <v>557</v>
      </c>
      <c r="F464" t="s">
        <v>107</v>
      </c>
      <c r="G464">
        <v>2</v>
      </c>
      <c r="H464" s="3">
        <v>1230</v>
      </c>
      <c r="I464" s="3">
        <v>2460</v>
      </c>
      <c r="J464" t="s">
        <v>82</v>
      </c>
      <c r="K464" t="s">
        <v>77</v>
      </c>
      <c r="L464" t="str">
        <f t="shared" si="7"/>
        <v>Sunday</v>
      </c>
    </row>
    <row r="465" spans="1:12" ht="14.25" customHeight="1" x14ac:dyDescent="0.45">
      <c r="A465" t="s">
        <v>870</v>
      </c>
      <c r="B465" s="2" t="s">
        <v>92</v>
      </c>
      <c r="C465" t="s">
        <v>96</v>
      </c>
      <c r="D465" t="s">
        <v>398</v>
      </c>
      <c r="E465" t="s">
        <v>464</v>
      </c>
      <c r="F465" t="s">
        <v>75</v>
      </c>
      <c r="G465">
        <v>1</v>
      </c>
      <c r="H465" s="3">
        <v>2650</v>
      </c>
      <c r="I465" s="3">
        <v>2650</v>
      </c>
      <c r="J465" t="s">
        <v>82</v>
      </c>
      <c r="K465" t="s">
        <v>83</v>
      </c>
      <c r="L465" t="str">
        <f t="shared" si="7"/>
        <v>Saturday</v>
      </c>
    </row>
    <row r="466" spans="1:12" ht="14.25" customHeight="1" x14ac:dyDescent="0.45">
      <c r="A466" t="s">
        <v>292</v>
      </c>
      <c r="B466" s="2" t="s">
        <v>162</v>
      </c>
      <c r="C466" t="s">
        <v>80</v>
      </c>
      <c r="D466" t="s">
        <v>196</v>
      </c>
      <c r="E466" t="s">
        <v>197</v>
      </c>
      <c r="F466" t="s">
        <v>107</v>
      </c>
      <c r="G466">
        <v>1</v>
      </c>
      <c r="H466" s="3">
        <v>19190</v>
      </c>
      <c r="I466" s="3">
        <v>19190</v>
      </c>
      <c r="J466" t="s">
        <v>82</v>
      </c>
      <c r="K466" t="s">
        <v>83</v>
      </c>
      <c r="L466" t="str">
        <f t="shared" si="7"/>
        <v>Sunday</v>
      </c>
    </row>
    <row r="467" spans="1:12" ht="14.25" customHeight="1" x14ac:dyDescent="0.45">
      <c r="A467" t="s">
        <v>1114</v>
      </c>
      <c r="B467" s="2" t="s">
        <v>318</v>
      </c>
      <c r="C467" t="s">
        <v>100</v>
      </c>
      <c r="D467" t="s">
        <v>472</v>
      </c>
      <c r="E467" t="s">
        <v>500</v>
      </c>
      <c r="F467" t="s">
        <v>107</v>
      </c>
      <c r="G467">
        <v>1</v>
      </c>
      <c r="H467" s="3">
        <v>1610</v>
      </c>
      <c r="I467" s="3">
        <v>1610</v>
      </c>
      <c r="J467" t="s">
        <v>76</v>
      </c>
      <c r="K467" t="s">
        <v>93</v>
      </c>
      <c r="L467" t="str">
        <f t="shared" si="7"/>
        <v>Monday</v>
      </c>
    </row>
    <row r="468" spans="1:12" ht="14.25" customHeight="1" x14ac:dyDescent="0.45">
      <c r="A468" t="s">
        <v>180</v>
      </c>
      <c r="B468" s="2" t="s">
        <v>181</v>
      </c>
      <c r="C468" t="s">
        <v>96</v>
      </c>
      <c r="D468" t="s">
        <v>73</v>
      </c>
      <c r="E468" t="s">
        <v>101</v>
      </c>
      <c r="F468" t="s">
        <v>131</v>
      </c>
      <c r="G468">
        <v>2</v>
      </c>
      <c r="H468" s="3">
        <v>40730</v>
      </c>
      <c r="I468" s="3">
        <v>81460</v>
      </c>
      <c r="J468" t="s">
        <v>76</v>
      </c>
      <c r="K468" t="s">
        <v>93</v>
      </c>
      <c r="L468" t="str">
        <f t="shared" si="7"/>
        <v>Thursday</v>
      </c>
    </row>
    <row r="469" spans="1:12" ht="14.25" customHeight="1" x14ac:dyDescent="0.45">
      <c r="A469" t="s">
        <v>1023</v>
      </c>
      <c r="B469" s="2" t="s">
        <v>249</v>
      </c>
      <c r="C469" t="s">
        <v>80</v>
      </c>
      <c r="D469" t="s">
        <v>334</v>
      </c>
      <c r="E469" t="s">
        <v>527</v>
      </c>
      <c r="F469" t="s">
        <v>86</v>
      </c>
      <c r="G469">
        <v>1</v>
      </c>
      <c r="H469" s="3">
        <v>1920</v>
      </c>
      <c r="I469" s="3">
        <v>1920</v>
      </c>
      <c r="J469" t="s">
        <v>82</v>
      </c>
      <c r="K469" t="s">
        <v>83</v>
      </c>
      <c r="L469" t="str">
        <f t="shared" si="7"/>
        <v>Thursday</v>
      </c>
    </row>
    <row r="470" spans="1:12" ht="14.25" customHeight="1" x14ac:dyDescent="0.45">
      <c r="A470" t="s">
        <v>511</v>
      </c>
      <c r="B470" s="2" t="s">
        <v>119</v>
      </c>
      <c r="C470" t="s">
        <v>89</v>
      </c>
      <c r="D470" t="s">
        <v>472</v>
      </c>
      <c r="E470" t="s">
        <v>497</v>
      </c>
      <c r="F470" t="s">
        <v>131</v>
      </c>
      <c r="G470">
        <v>2</v>
      </c>
      <c r="H470" s="3">
        <v>3130</v>
      </c>
      <c r="I470" s="3">
        <v>6260</v>
      </c>
      <c r="J470" t="s">
        <v>82</v>
      </c>
      <c r="K470" t="s">
        <v>77</v>
      </c>
      <c r="L470" t="str">
        <f t="shared" si="7"/>
        <v>Tuesday</v>
      </c>
    </row>
    <row r="471" spans="1:12" ht="14.25" customHeight="1" x14ac:dyDescent="0.45">
      <c r="A471" t="s">
        <v>1165</v>
      </c>
      <c r="B471" s="2" t="s">
        <v>588</v>
      </c>
      <c r="C471" t="s">
        <v>96</v>
      </c>
      <c r="D471" t="s">
        <v>334</v>
      </c>
      <c r="E471" t="s">
        <v>515</v>
      </c>
      <c r="F471" t="s">
        <v>86</v>
      </c>
      <c r="G471">
        <v>1</v>
      </c>
      <c r="H471" s="3">
        <v>1450</v>
      </c>
      <c r="I471" s="3">
        <v>1450</v>
      </c>
      <c r="J471" t="s">
        <v>82</v>
      </c>
      <c r="K471" t="s">
        <v>83</v>
      </c>
      <c r="L471" t="str">
        <f t="shared" si="7"/>
        <v>Sunday</v>
      </c>
    </row>
    <row r="472" spans="1:12" ht="14.25" customHeight="1" x14ac:dyDescent="0.45">
      <c r="A472" t="s">
        <v>1010</v>
      </c>
      <c r="B472" s="2" t="s">
        <v>305</v>
      </c>
      <c r="C472" t="s">
        <v>100</v>
      </c>
      <c r="D472" t="s">
        <v>398</v>
      </c>
      <c r="E472" t="s">
        <v>462</v>
      </c>
      <c r="F472" t="s">
        <v>117</v>
      </c>
      <c r="G472">
        <v>1</v>
      </c>
      <c r="H472" s="3">
        <v>2020</v>
      </c>
      <c r="I472" s="3">
        <v>2020</v>
      </c>
      <c r="J472" t="s">
        <v>76</v>
      </c>
      <c r="K472" t="s">
        <v>77</v>
      </c>
      <c r="L472" t="str">
        <f t="shared" si="7"/>
        <v>Sunday</v>
      </c>
    </row>
    <row r="473" spans="1:12" ht="14.25" customHeight="1" x14ac:dyDescent="0.45">
      <c r="A473" t="s">
        <v>895</v>
      </c>
      <c r="B473" s="2" t="s">
        <v>109</v>
      </c>
      <c r="C473" t="s">
        <v>96</v>
      </c>
      <c r="D473" t="s">
        <v>472</v>
      </c>
      <c r="E473" t="s">
        <v>473</v>
      </c>
      <c r="F473" t="s">
        <v>107</v>
      </c>
      <c r="G473">
        <v>1</v>
      </c>
      <c r="H473" s="3">
        <v>2490</v>
      </c>
      <c r="I473" s="3">
        <v>2490</v>
      </c>
      <c r="J473" t="s">
        <v>76</v>
      </c>
      <c r="K473" t="s">
        <v>77</v>
      </c>
      <c r="L473" t="str">
        <f t="shared" si="7"/>
        <v>Saturday</v>
      </c>
    </row>
    <row r="474" spans="1:12" ht="14.25" customHeight="1" x14ac:dyDescent="0.45">
      <c r="A474" t="s">
        <v>570</v>
      </c>
      <c r="B474" s="2" t="s">
        <v>571</v>
      </c>
      <c r="C474" t="s">
        <v>100</v>
      </c>
      <c r="D474" t="s">
        <v>196</v>
      </c>
      <c r="E474" t="s">
        <v>300</v>
      </c>
      <c r="F474" t="s">
        <v>131</v>
      </c>
      <c r="G474">
        <v>1</v>
      </c>
      <c r="H474" s="3">
        <v>4610</v>
      </c>
      <c r="I474" s="3">
        <v>4610</v>
      </c>
      <c r="J474" t="s">
        <v>82</v>
      </c>
      <c r="K474" t="s">
        <v>93</v>
      </c>
      <c r="L474" t="str">
        <f t="shared" si="7"/>
        <v>Saturday</v>
      </c>
    </row>
    <row r="475" spans="1:12" ht="14.25" customHeight="1" x14ac:dyDescent="0.45">
      <c r="A475" t="s">
        <v>524</v>
      </c>
      <c r="B475" s="2" t="s">
        <v>234</v>
      </c>
      <c r="C475" t="s">
        <v>100</v>
      </c>
      <c r="D475" t="s">
        <v>73</v>
      </c>
      <c r="E475" t="s">
        <v>441</v>
      </c>
      <c r="F475" t="s">
        <v>86</v>
      </c>
      <c r="G475">
        <v>2</v>
      </c>
      <c r="H475" s="3">
        <v>2860</v>
      </c>
      <c r="I475" s="3">
        <v>5720</v>
      </c>
      <c r="J475" t="s">
        <v>76</v>
      </c>
      <c r="K475" t="s">
        <v>83</v>
      </c>
      <c r="L475" t="str">
        <f t="shared" si="7"/>
        <v>Monday</v>
      </c>
    </row>
    <row r="476" spans="1:12" ht="14.25" customHeight="1" x14ac:dyDescent="0.45">
      <c r="A476" t="s">
        <v>953</v>
      </c>
      <c r="B476" s="2" t="s">
        <v>513</v>
      </c>
      <c r="C476" t="s">
        <v>96</v>
      </c>
      <c r="D476" t="s">
        <v>398</v>
      </c>
      <c r="E476" t="s">
        <v>448</v>
      </c>
      <c r="F476" t="s">
        <v>140</v>
      </c>
      <c r="G476">
        <v>1</v>
      </c>
      <c r="H476" s="3">
        <v>2260</v>
      </c>
      <c r="I476" s="3">
        <v>2260</v>
      </c>
      <c r="J476" t="s">
        <v>82</v>
      </c>
      <c r="K476" t="s">
        <v>77</v>
      </c>
      <c r="L476" t="str">
        <f t="shared" si="7"/>
        <v>Friday</v>
      </c>
    </row>
    <row r="477" spans="1:12" ht="14.25" customHeight="1" x14ac:dyDescent="0.45">
      <c r="A477" t="s">
        <v>322</v>
      </c>
      <c r="B477" s="2" t="s">
        <v>154</v>
      </c>
      <c r="C477" t="s">
        <v>100</v>
      </c>
      <c r="D477" t="s">
        <v>196</v>
      </c>
      <c r="E477" t="s">
        <v>197</v>
      </c>
      <c r="F477" t="s">
        <v>75</v>
      </c>
      <c r="G477">
        <v>1</v>
      </c>
      <c r="H477" s="3">
        <v>17780</v>
      </c>
      <c r="I477" s="3">
        <v>17780</v>
      </c>
      <c r="J477" t="s">
        <v>82</v>
      </c>
      <c r="K477" t="s">
        <v>83</v>
      </c>
      <c r="L477" t="str">
        <f t="shared" si="7"/>
        <v>Wednesday</v>
      </c>
    </row>
    <row r="478" spans="1:12" ht="14.25" customHeight="1" x14ac:dyDescent="0.45">
      <c r="A478" t="s">
        <v>944</v>
      </c>
      <c r="B478" s="2" t="s">
        <v>509</v>
      </c>
      <c r="C478" t="s">
        <v>80</v>
      </c>
      <c r="D478" t="s">
        <v>472</v>
      </c>
      <c r="E478" t="s">
        <v>473</v>
      </c>
      <c r="F478" t="s">
        <v>131</v>
      </c>
      <c r="G478">
        <v>1</v>
      </c>
      <c r="H478" s="3">
        <v>2310</v>
      </c>
      <c r="I478" s="3">
        <v>2310</v>
      </c>
      <c r="J478" t="s">
        <v>76</v>
      </c>
      <c r="K478" t="s">
        <v>93</v>
      </c>
      <c r="L478" t="str">
        <f t="shared" si="7"/>
        <v>Tuesday</v>
      </c>
    </row>
    <row r="479" spans="1:12" ht="14.25" customHeight="1" x14ac:dyDescent="0.45">
      <c r="A479" t="s">
        <v>768</v>
      </c>
      <c r="B479" s="2" t="s">
        <v>428</v>
      </c>
      <c r="C479" t="s">
        <v>89</v>
      </c>
      <c r="D479" t="s">
        <v>472</v>
      </c>
      <c r="E479" t="s">
        <v>497</v>
      </c>
      <c r="F479" t="s">
        <v>75</v>
      </c>
      <c r="G479">
        <v>1</v>
      </c>
      <c r="H479" s="3">
        <v>3200</v>
      </c>
      <c r="I479" s="3">
        <v>3200</v>
      </c>
      <c r="J479" t="s">
        <v>76</v>
      </c>
      <c r="K479" t="s">
        <v>83</v>
      </c>
      <c r="L479" t="str">
        <f t="shared" si="7"/>
        <v>Friday</v>
      </c>
    </row>
    <row r="480" spans="1:12" ht="14.25" customHeight="1" x14ac:dyDescent="0.45">
      <c r="A480" t="s">
        <v>427</v>
      </c>
      <c r="B480" s="2" t="s">
        <v>428</v>
      </c>
      <c r="C480" t="s">
        <v>96</v>
      </c>
      <c r="D480" t="s">
        <v>73</v>
      </c>
      <c r="E480" t="s">
        <v>211</v>
      </c>
      <c r="F480" t="s">
        <v>86</v>
      </c>
      <c r="G480">
        <v>1</v>
      </c>
      <c r="H480" s="3">
        <v>11820</v>
      </c>
      <c r="I480" s="3">
        <v>11820</v>
      </c>
      <c r="J480" t="s">
        <v>76</v>
      </c>
      <c r="K480" t="s">
        <v>93</v>
      </c>
      <c r="L480" t="str">
        <f t="shared" si="7"/>
        <v>Friday</v>
      </c>
    </row>
    <row r="481" spans="1:12" ht="14.25" customHeight="1" x14ac:dyDescent="0.45">
      <c r="A481" t="s">
        <v>1175</v>
      </c>
      <c r="B481" s="2" t="s">
        <v>283</v>
      </c>
      <c r="C481" t="s">
        <v>80</v>
      </c>
      <c r="D481" t="s">
        <v>472</v>
      </c>
      <c r="E481" t="s">
        <v>557</v>
      </c>
      <c r="F481" t="s">
        <v>75</v>
      </c>
      <c r="G481">
        <v>1</v>
      </c>
      <c r="H481" s="3">
        <v>1240</v>
      </c>
      <c r="I481" s="3">
        <v>1240</v>
      </c>
      <c r="J481" t="s">
        <v>76</v>
      </c>
      <c r="K481" t="s">
        <v>83</v>
      </c>
      <c r="L481" t="str">
        <f t="shared" si="7"/>
        <v>Thursday</v>
      </c>
    </row>
    <row r="482" spans="1:12" ht="14.25" customHeight="1" x14ac:dyDescent="0.45">
      <c r="A482" t="s">
        <v>534</v>
      </c>
      <c r="B482" s="2" t="s">
        <v>354</v>
      </c>
      <c r="C482" t="s">
        <v>100</v>
      </c>
      <c r="D482" t="s">
        <v>73</v>
      </c>
      <c r="E482" t="s">
        <v>441</v>
      </c>
      <c r="F482" t="s">
        <v>86</v>
      </c>
      <c r="G482">
        <v>2</v>
      </c>
      <c r="H482" s="3">
        <v>2740</v>
      </c>
      <c r="I482" s="3">
        <v>5480</v>
      </c>
      <c r="J482" t="s">
        <v>76</v>
      </c>
      <c r="K482" t="s">
        <v>77</v>
      </c>
      <c r="L482" t="str">
        <f t="shared" si="7"/>
        <v>Thursday</v>
      </c>
    </row>
    <row r="483" spans="1:12" ht="14.25" customHeight="1" x14ac:dyDescent="0.45">
      <c r="A483" t="s">
        <v>406</v>
      </c>
      <c r="B483" s="2" t="s">
        <v>407</v>
      </c>
      <c r="C483" t="s">
        <v>89</v>
      </c>
      <c r="D483" t="s">
        <v>73</v>
      </c>
      <c r="E483" t="s">
        <v>211</v>
      </c>
      <c r="F483" t="s">
        <v>140</v>
      </c>
      <c r="G483">
        <v>1</v>
      </c>
      <c r="H483" s="3">
        <v>12260</v>
      </c>
      <c r="I483" s="3">
        <v>12260</v>
      </c>
      <c r="J483" t="s">
        <v>76</v>
      </c>
      <c r="K483" t="s">
        <v>93</v>
      </c>
      <c r="L483" t="str">
        <f t="shared" si="7"/>
        <v>Wednesday</v>
      </c>
    </row>
    <row r="484" spans="1:12" ht="14.25" customHeight="1" x14ac:dyDescent="0.45">
      <c r="A484" t="s">
        <v>1069</v>
      </c>
      <c r="B484" s="2" t="s">
        <v>869</v>
      </c>
      <c r="C484" t="s">
        <v>100</v>
      </c>
      <c r="D484" t="s">
        <v>398</v>
      </c>
      <c r="E484" t="s">
        <v>475</v>
      </c>
      <c r="F484" t="s">
        <v>86</v>
      </c>
      <c r="G484">
        <v>1</v>
      </c>
      <c r="H484" s="3">
        <v>1820</v>
      </c>
      <c r="I484" s="3">
        <v>1820</v>
      </c>
      <c r="J484" t="s">
        <v>76</v>
      </c>
      <c r="K484" t="s">
        <v>77</v>
      </c>
      <c r="L484" t="str">
        <f t="shared" si="7"/>
        <v>Monday</v>
      </c>
    </row>
    <row r="485" spans="1:12" ht="14.25" customHeight="1" x14ac:dyDescent="0.45">
      <c r="A485" t="s">
        <v>601</v>
      </c>
      <c r="B485" s="2" t="s">
        <v>295</v>
      </c>
      <c r="C485" t="s">
        <v>72</v>
      </c>
      <c r="D485" t="s">
        <v>398</v>
      </c>
      <c r="E485" t="s">
        <v>448</v>
      </c>
      <c r="F485" t="s">
        <v>107</v>
      </c>
      <c r="G485">
        <v>2</v>
      </c>
      <c r="H485" s="3">
        <v>2210</v>
      </c>
      <c r="I485" s="3">
        <v>4420</v>
      </c>
      <c r="J485" t="s">
        <v>82</v>
      </c>
      <c r="K485" t="s">
        <v>93</v>
      </c>
      <c r="L485" t="str">
        <f t="shared" si="7"/>
        <v>Wednesday</v>
      </c>
    </row>
    <row r="486" spans="1:12" ht="14.25" customHeight="1" x14ac:dyDescent="0.45">
      <c r="A486" t="s">
        <v>1046</v>
      </c>
      <c r="B486" s="2" t="s">
        <v>526</v>
      </c>
      <c r="C486" t="s">
        <v>96</v>
      </c>
      <c r="D486" t="s">
        <v>334</v>
      </c>
      <c r="E486" t="s">
        <v>527</v>
      </c>
      <c r="F486" t="s">
        <v>81</v>
      </c>
      <c r="G486">
        <v>1</v>
      </c>
      <c r="H486" s="3">
        <v>1870</v>
      </c>
      <c r="I486" s="3">
        <v>1870</v>
      </c>
      <c r="J486" t="s">
        <v>82</v>
      </c>
      <c r="K486" t="s">
        <v>93</v>
      </c>
      <c r="L486" t="str">
        <f t="shared" si="7"/>
        <v>Sunday</v>
      </c>
    </row>
    <row r="487" spans="1:12" ht="14.25" customHeight="1" x14ac:dyDescent="0.45">
      <c r="A487" t="s">
        <v>563</v>
      </c>
      <c r="B487" s="2" t="s">
        <v>430</v>
      </c>
      <c r="C487" t="s">
        <v>89</v>
      </c>
      <c r="D487" t="s">
        <v>196</v>
      </c>
      <c r="E487" t="s">
        <v>300</v>
      </c>
      <c r="F487" t="s">
        <v>140</v>
      </c>
      <c r="G487">
        <v>1</v>
      </c>
      <c r="H487" s="3">
        <v>4680</v>
      </c>
      <c r="I487" s="3">
        <v>4680</v>
      </c>
      <c r="J487" t="s">
        <v>76</v>
      </c>
      <c r="K487" t="s">
        <v>83</v>
      </c>
      <c r="L487" t="str">
        <f t="shared" si="7"/>
        <v>Friday</v>
      </c>
    </row>
    <row r="488" spans="1:12" ht="14.25" customHeight="1" x14ac:dyDescent="0.45">
      <c r="A488" t="s">
        <v>259</v>
      </c>
      <c r="B488" s="2" t="s">
        <v>223</v>
      </c>
      <c r="C488" t="s">
        <v>96</v>
      </c>
      <c r="D488" t="s">
        <v>196</v>
      </c>
      <c r="E488" t="s">
        <v>197</v>
      </c>
      <c r="F488" t="s">
        <v>75</v>
      </c>
      <c r="G488">
        <v>2</v>
      </c>
      <c r="H488" s="3">
        <v>17910</v>
      </c>
      <c r="I488" s="3">
        <v>35820</v>
      </c>
      <c r="J488" t="s">
        <v>82</v>
      </c>
      <c r="K488" t="s">
        <v>83</v>
      </c>
      <c r="L488" t="str">
        <f t="shared" si="7"/>
        <v>Wednesday</v>
      </c>
    </row>
    <row r="489" spans="1:12" ht="14.25" customHeight="1" x14ac:dyDescent="0.45">
      <c r="A489" t="s">
        <v>144</v>
      </c>
      <c r="B489" s="2" t="s">
        <v>133</v>
      </c>
      <c r="C489" t="s">
        <v>96</v>
      </c>
      <c r="D489" t="s">
        <v>73</v>
      </c>
      <c r="E489" t="s">
        <v>74</v>
      </c>
      <c r="F489" t="s">
        <v>140</v>
      </c>
      <c r="G489">
        <v>1</v>
      </c>
      <c r="H489" s="3">
        <v>95880</v>
      </c>
      <c r="I489" s="3">
        <v>95880</v>
      </c>
      <c r="J489" t="s">
        <v>82</v>
      </c>
      <c r="K489" t="s">
        <v>77</v>
      </c>
      <c r="L489" t="str">
        <f t="shared" si="7"/>
        <v>Wednesday</v>
      </c>
    </row>
    <row r="490" spans="1:12" ht="14.25" customHeight="1" x14ac:dyDescent="0.45">
      <c r="A490" t="s">
        <v>987</v>
      </c>
      <c r="B490" s="2" t="s">
        <v>389</v>
      </c>
      <c r="C490" t="s">
        <v>72</v>
      </c>
      <c r="D490" t="s">
        <v>398</v>
      </c>
      <c r="E490" t="s">
        <v>448</v>
      </c>
      <c r="F490" t="s">
        <v>90</v>
      </c>
      <c r="G490">
        <v>1</v>
      </c>
      <c r="H490" s="3">
        <v>2140</v>
      </c>
      <c r="I490" s="3">
        <v>2140</v>
      </c>
      <c r="J490" t="s">
        <v>76</v>
      </c>
      <c r="K490" t="s">
        <v>93</v>
      </c>
      <c r="L490" t="str">
        <f t="shared" si="7"/>
        <v>Tuesday</v>
      </c>
    </row>
    <row r="491" spans="1:12" ht="14.25" customHeight="1" x14ac:dyDescent="0.45">
      <c r="A491" t="s">
        <v>463</v>
      </c>
      <c r="B491" s="2" t="s">
        <v>150</v>
      </c>
      <c r="C491" t="s">
        <v>96</v>
      </c>
      <c r="D491" t="s">
        <v>398</v>
      </c>
      <c r="E491" t="s">
        <v>464</v>
      </c>
      <c r="F491" t="s">
        <v>123</v>
      </c>
      <c r="G491">
        <v>3</v>
      </c>
      <c r="H491" s="3">
        <v>2700</v>
      </c>
      <c r="I491" s="3">
        <v>8100</v>
      </c>
      <c r="J491" t="s">
        <v>76</v>
      </c>
      <c r="K491" t="s">
        <v>77</v>
      </c>
      <c r="L491" t="str">
        <f t="shared" si="7"/>
        <v>Saturday</v>
      </c>
    </row>
    <row r="492" spans="1:12" ht="14.25" customHeight="1" x14ac:dyDescent="0.45">
      <c r="A492" t="s">
        <v>978</v>
      </c>
      <c r="B492" s="2" t="s">
        <v>332</v>
      </c>
      <c r="C492" t="s">
        <v>89</v>
      </c>
      <c r="D492" t="s">
        <v>398</v>
      </c>
      <c r="E492" t="s">
        <v>448</v>
      </c>
      <c r="F492" t="s">
        <v>131</v>
      </c>
      <c r="G492">
        <v>1</v>
      </c>
      <c r="H492" s="3">
        <v>2170</v>
      </c>
      <c r="I492" s="3">
        <v>2170</v>
      </c>
      <c r="J492" t="s">
        <v>76</v>
      </c>
      <c r="K492" t="s">
        <v>93</v>
      </c>
      <c r="L492" t="str">
        <f t="shared" si="7"/>
        <v>Thursday</v>
      </c>
    </row>
    <row r="493" spans="1:12" ht="14.25" customHeight="1" x14ac:dyDescent="0.45">
      <c r="A493" t="s">
        <v>145</v>
      </c>
      <c r="B493" s="2" t="s">
        <v>146</v>
      </c>
      <c r="C493" t="s">
        <v>80</v>
      </c>
      <c r="D493" t="s">
        <v>73</v>
      </c>
      <c r="E493" t="s">
        <v>74</v>
      </c>
      <c r="F493" t="s">
        <v>117</v>
      </c>
      <c r="G493">
        <v>1</v>
      </c>
      <c r="H493" s="3">
        <v>95430</v>
      </c>
      <c r="I493" s="3">
        <v>95430</v>
      </c>
      <c r="J493" t="s">
        <v>76</v>
      </c>
      <c r="K493" t="s">
        <v>83</v>
      </c>
      <c r="L493" t="str">
        <f t="shared" si="7"/>
        <v>Saturday</v>
      </c>
    </row>
    <row r="494" spans="1:12" ht="14.25" customHeight="1" x14ac:dyDescent="0.45">
      <c r="A494" t="s">
        <v>926</v>
      </c>
      <c r="B494" s="2" t="s">
        <v>428</v>
      </c>
      <c r="C494" t="s">
        <v>96</v>
      </c>
      <c r="D494" t="s">
        <v>472</v>
      </c>
      <c r="E494" t="s">
        <v>473</v>
      </c>
      <c r="F494" t="s">
        <v>123</v>
      </c>
      <c r="G494">
        <v>1</v>
      </c>
      <c r="H494" s="3">
        <v>2390</v>
      </c>
      <c r="I494" s="3">
        <v>2390</v>
      </c>
      <c r="J494" t="s">
        <v>82</v>
      </c>
      <c r="K494" t="s">
        <v>77</v>
      </c>
      <c r="L494" t="str">
        <f t="shared" si="7"/>
        <v>Friday</v>
      </c>
    </row>
    <row r="495" spans="1:12" ht="14.25" customHeight="1" x14ac:dyDescent="0.45">
      <c r="A495" t="s">
        <v>1135</v>
      </c>
      <c r="B495" s="2" t="s">
        <v>343</v>
      </c>
      <c r="C495" t="s">
        <v>89</v>
      </c>
      <c r="D495" t="s">
        <v>472</v>
      </c>
      <c r="E495" t="s">
        <v>500</v>
      </c>
      <c r="F495" t="s">
        <v>75</v>
      </c>
      <c r="G495">
        <v>1</v>
      </c>
      <c r="H495" s="3">
        <v>1550</v>
      </c>
      <c r="I495" s="3">
        <v>1550</v>
      </c>
      <c r="J495" t="s">
        <v>76</v>
      </c>
      <c r="K495" t="s">
        <v>83</v>
      </c>
      <c r="L495" t="str">
        <f t="shared" si="7"/>
        <v>Monday</v>
      </c>
    </row>
    <row r="496" spans="1:12" ht="14.25" customHeight="1" x14ac:dyDescent="0.45">
      <c r="A496" t="s">
        <v>377</v>
      </c>
      <c r="B496" s="2" t="s">
        <v>345</v>
      </c>
      <c r="C496" t="s">
        <v>89</v>
      </c>
      <c r="D496" t="s">
        <v>196</v>
      </c>
      <c r="E496" t="s">
        <v>246</v>
      </c>
      <c r="F496" t="s">
        <v>81</v>
      </c>
      <c r="G496">
        <v>1</v>
      </c>
      <c r="H496" s="3">
        <v>13840</v>
      </c>
      <c r="I496" s="3">
        <v>13840</v>
      </c>
      <c r="J496" t="s">
        <v>82</v>
      </c>
      <c r="K496" t="s">
        <v>83</v>
      </c>
      <c r="L496" t="str">
        <f t="shared" si="7"/>
        <v>Wednesday</v>
      </c>
    </row>
    <row r="497" spans="1:12" ht="14.25" customHeight="1" x14ac:dyDescent="0.45">
      <c r="A497" t="s">
        <v>1061</v>
      </c>
      <c r="B497" s="2" t="s">
        <v>258</v>
      </c>
      <c r="C497" t="s">
        <v>96</v>
      </c>
      <c r="D497" t="s">
        <v>398</v>
      </c>
      <c r="E497" t="s">
        <v>475</v>
      </c>
      <c r="F497" t="s">
        <v>90</v>
      </c>
      <c r="G497">
        <v>1</v>
      </c>
      <c r="H497" s="3">
        <v>1840</v>
      </c>
      <c r="I497" s="3">
        <v>1840</v>
      </c>
      <c r="J497" t="s">
        <v>82</v>
      </c>
      <c r="K497" t="s">
        <v>83</v>
      </c>
      <c r="L497" t="str">
        <f t="shared" si="7"/>
        <v>Friday</v>
      </c>
    </row>
    <row r="498" spans="1:12" ht="14.25" customHeight="1" x14ac:dyDescent="0.45">
      <c r="A498" t="s">
        <v>1193</v>
      </c>
      <c r="B498" s="2" t="s">
        <v>166</v>
      </c>
      <c r="C498" t="s">
        <v>89</v>
      </c>
      <c r="D498" t="s">
        <v>472</v>
      </c>
      <c r="E498" t="s">
        <v>557</v>
      </c>
      <c r="F498" t="s">
        <v>97</v>
      </c>
      <c r="G498">
        <v>1</v>
      </c>
      <c r="H498" s="3">
        <v>1210</v>
      </c>
      <c r="I498" s="3">
        <v>1210</v>
      </c>
      <c r="J498" t="s">
        <v>76</v>
      </c>
      <c r="K498" t="s">
        <v>77</v>
      </c>
      <c r="L498" t="str">
        <f t="shared" si="7"/>
        <v>Friday</v>
      </c>
    </row>
    <row r="499" spans="1:12" ht="14.25" customHeight="1" x14ac:dyDescent="0.45">
      <c r="A499" t="s">
        <v>821</v>
      </c>
      <c r="B499" s="2" t="s">
        <v>407</v>
      </c>
      <c r="C499" t="s">
        <v>96</v>
      </c>
      <c r="D499" t="s">
        <v>334</v>
      </c>
      <c r="E499" t="s">
        <v>515</v>
      </c>
      <c r="F499" t="s">
        <v>140</v>
      </c>
      <c r="G499">
        <v>2</v>
      </c>
      <c r="H499" s="3">
        <v>1540</v>
      </c>
      <c r="I499" s="3">
        <v>3080</v>
      </c>
      <c r="J499" t="s">
        <v>76</v>
      </c>
      <c r="K499" t="s">
        <v>93</v>
      </c>
      <c r="L499" t="str">
        <f t="shared" si="7"/>
        <v>Wednesday</v>
      </c>
    </row>
    <row r="500" spans="1:12" ht="14.25" customHeight="1" x14ac:dyDescent="0.45">
      <c r="A500" t="s">
        <v>558</v>
      </c>
      <c r="B500" s="2" t="s">
        <v>146</v>
      </c>
      <c r="C500" t="s">
        <v>100</v>
      </c>
      <c r="D500" t="s">
        <v>472</v>
      </c>
      <c r="E500" t="s">
        <v>473</v>
      </c>
      <c r="F500" t="s">
        <v>86</v>
      </c>
      <c r="G500">
        <v>2</v>
      </c>
      <c r="H500" s="3">
        <v>2430</v>
      </c>
      <c r="I500" s="3">
        <v>4860</v>
      </c>
      <c r="J500" t="s">
        <v>76</v>
      </c>
      <c r="K500" t="s">
        <v>83</v>
      </c>
      <c r="L500" t="str">
        <f t="shared" si="7"/>
        <v>Saturday</v>
      </c>
    </row>
    <row r="501" spans="1:12" ht="14.25" customHeight="1" x14ac:dyDescent="0.45">
      <c r="A501" t="s">
        <v>990</v>
      </c>
      <c r="B501" s="2" t="s">
        <v>670</v>
      </c>
      <c r="C501" t="s">
        <v>96</v>
      </c>
      <c r="D501" t="s">
        <v>398</v>
      </c>
      <c r="E501" t="s">
        <v>462</v>
      </c>
      <c r="F501" t="s">
        <v>140</v>
      </c>
      <c r="G501">
        <v>1</v>
      </c>
      <c r="H501" s="3">
        <v>2120</v>
      </c>
      <c r="I501" s="3">
        <v>2120</v>
      </c>
      <c r="J501" t="s">
        <v>76</v>
      </c>
      <c r="K501" t="s">
        <v>83</v>
      </c>
      <c r="L501" t="str">
        <f t="shared" si="7"/>
        <v>Monday</v>
      </c>
    </row>
    <row r="502" spans="1:12" ht="14.25" customHeight="1" x14ac:dyDescent="0.45">
      <c r="A502" t="s">
        <v>163</v>
      </c>
      <c r="B502" s="2" t="s">
        <v>164</v>
      </c>
      <c r="C502" t="s">
        <v>80</v>
      </c>
      <c r="D502" t="s">
        <v>73</v>
      </c>
      <c r="E502" t="s">
        <v>101</v>
      </c>
      <c r="F502" t="s">
        <v>97</v>
      </c>
      <c r="G502">
        <v>2</v>
      </c>
      <c r="H502" s="3">
        <v>42840</v>
      </c>
      <c r="I502" s="3">
        <v>85680</v>
      </c>
      <c r="J502" t="s">
        <v>82</v>
      </c>
      <c r="K502" t="s">
        <v>77</v>
      </c>
      <c r="L502" t="str">
        <f t="shared" si="7"/>
        <v>Friday</v>
      </c>
    </row>
    <row r="503" spans="1:12" ht="14.25" customHeight="1" x14ac:dyDescent="0.45">
      <c r="A503" t="s">
        <v>400</v>
      </c>
      <c r="B503" s="2" t="s">
        <v>401</v>
      </c>
      <c r="C503" t="s">
        <v>96</v>
      </c>
      <c r="D503" t="s">
        <v>334</v>
      </c>
      <c r="E503" t="s">
        <v>402</v>
      </c>
      <c r="F503" t="s">
        <v>97</v>
      </c>
      <c r="G503">
        <v>3</v>
      </c>
      <c r="H503" s="3">
        <v>4200</v>
      </c>
      <c r="I503" s="3">
        <v>12600</v>
      </c>
      <c r="J503" t="s">
        <v>76</v>
      </c>
      <c r="K503" t="s">
        <v>93</v>
      </c>
      <c r="L503" t="str">
        <f t="shared" si="7"/>
        <v>Monday</v>
      </c>
    </row>
    <row r="504" spans="1:12" ht="14.25" customHeight="1" x14ac:dyDescent="0.45">
      <c r="A504" t="s">
        <v>835</v>
      </c>
      <c r="B504" s="2" t="s">
        <v>122</v>
      </c>
      <c r="C504" t="s">
        <v>100</v>
      </c>
      <c r="D504" t="s">
        <v>472</v>
      </c>
      <c r="E504" t="s">
        <v>497</v>
      </c>
      <c r="F504" t="s">
        <v>140</v>
      </c>
      <c r="G504">
        <v>1</v>
      </c>
      <c r="H504" s="3">
        <v>3000</v>
      </c>
      <c r="I504" s="3">
        <v>3000</v>
      </c>
      <c r="J504" t="s">
        <v>76</v>
      </c>
      <c r="K504" t="s">
        <v>83</v>
      </c>
      <c r="L504" t="str">
        <f t="shared" si="7"/>
        <v>Friday</v>
      </c>
    </row>
    <row r="505" spans="1:12" ht="14.25" customHeight="1" x14ac:dyDescent="0.45">
      <c r="A505" t="s">
        <v>786</v>
      </c>
      <c r="B505" s="2" t="s">
        <v>258</v>
      </c>
      <c r="C505" t="s">
        <v>89</v>
      </c>
      <c r="D505" t="s">
        <v>472</v>
      </c>
      <c r="E505" t="s">
        <v>497</v>
      </c>
      <c r="F505" t="s">
        <v>75</v>
      </c>
      <c r="G505">
        <v>1</v>
      </c>
      <c r="H505" s="3">
        <v>3160</v>
      </c>
      <c r="I505" s="3">
        <v>3160</v>
      </c>
      <c r="J505" t="s">
        <v>82</v>
      </c>
      <c r="K505" t="s">
        <v>93</v>
      </c>
      <c r="L505" t="str">
        <f t="shared" si="7"/>
        <v>Friday</v>
      </c>
    </row>
    <row r="506" spans="1:12" ht="14.25" customHeight="1" x14ac:dyDescent="0.45">
      <c r="A506" t="s">
        <v>1180</v>
      </c>
      <c r="B506" s="2" t="s">
        <v>393</v>
      </c>
      <c r="C506" t="s">
        <v>72</v>
      </c>
      <c r="D506" t="s">
        <v>472</v>
      </c>
      <c r="E506" t="s">
        <v>557</v>
      </c>
      <c r="F506" t="s">
        <v>90</v>
      </c>
      <c r="G506">
        <v>1</v>
      </c>
      <c r="H506" s="3">
        <v>1230</v>
      </c>
      <c r="I506" s="3">
        <v>1230</v>
      </c>
      <c r="J506" t="s">
        <v>76</v>
      </c>
      <c r="K506" t="s">
        <v>77</v>
      </c>
      <c r="L506" t="str">
        <f t="shared" si="7"/>
        <v>Tuesday</v>
      </c>
    </row>
    <row r="507" spans="1:12" ht="14.25" customHeight="1" x14ac:dyDescent="0.45">
      <c r="A507" t="s">
        <v>153</v>
      </c>
      <c r="B507" s="2" t="s">
        <v>154</v>
      </c>
      <c r="C507" t="s">
        <v>96</v>
      </c>
      <c r="D507" t="s">
        <v>73</v>
      </c>
      <c r="E507" t="s">
        <v>74</v>
      </c>
      <c r="F507" t="s">
        <v>97</v>
      </c>
      <c r="G507">
        <v>1</v>
      </c>
      <c r="H507" s="3">
        <v>93450</v>
      </c>
      <c r="I507" s="3">
        <v>93450</v>
      </c>
      <c r="J507" t="s">
        <v>76</v>
      </c>
      <c r="K507" t="s">
        <v>83</v>
      </c>
      <c r="L507" t="str">
        <f t="shared" si="7"/>
        <v>Wednesday</v>
      </c>
    </row>
    <row r="508" spans="1:12" ht="14.25" customHeight="1" x14ac:dyDescent="0.45">
      <c r="A508" t="s">
        <v>288</v>
      </c>
      <c r="B508" s="2" t="s">
        <v>289</v>
      </c>
      <c r="C508" t="s">
        <v>100</v>
      </c>
      <c r="D508" t="s">
        <v>73</v>
      </c>
      <c r="E508" t="s">
        <v>211</v>
      </c>
      <c r="F508" t="s">
        <v>81</v>
      </c>
      <c r="G508">
        <v>2</v>
      </c>
      <c r="H508" s="3">
        <v>11780</v>
      </c>
      <c r="I508" s="3">
        <v>23560</v>
      </c>
      <c r="J508" t="s">
        <v>76</v>
      </c>
      <c r="K508" t="s">
        <v>83</v>
      </c>
      <c r="L508" t="str">
        <f t="shared" si="7"/>
        <v>Thursday</v>
      </c>
    </row>
    <row r="509" spans="1:12" ht="14.25" customHeight="1" x14ac:dyDescent="0.45">
      <c r="A509" t="s">
        <v>553</v>
      </c>
      <c r="B509" s="2" t="s">
        <v>554</v>
      </c>
      <c r="C509" t="s">
        <v>96</v>
      </c>
      <c r="D509" t="s">
        <v>472</v>
      </c>
      <c r="E509" t="s">
        <v>473</v>
      </c>
      <c r="F509" t="s">
        <v>140</v>
      </c>
      <c r="G509">
        <v>2</v>
      </c>
      <c r="H509" s="3">
        <v>2490</v>
      </c>
      <c r="I509" s="3">
        <v>4980</v>
      </c>
      <c r="J509" t="s">
        <v>76</v>
      </c>
      <c r="K509" t="s">
        <v>83</v>
      </c>
      <c r="L509" t="str">
        <f t="shared" si="7"/>
        <v>Tuesday</v>
      </c>
    </row>
    <row r="510" spans="1:12" ht="14.25" customHeight="1" x14ac:dyDescent="0.45">
      <c r="A510" t="s">
        <v>275</v>
      </c>
      <c r="B510" s="2" t="s">
        <v>276</v>
      </c>
      <c r="C510" t="s">
        <v>89</v>
      </c>
      <c r="D510" t="s">
        <v>196</v>
      </c>
      <c r="E510" t="s">
        <v>246</v>
      </c>
      <c r="F510" t="s">
        <v>81</v>
      </c>
      <c r="G510">
        <v>2</v>
      </c>
      <c r="H510" s="3">
        <v>13340</v>
      </c>
      <c r="I510" s="3">
        <v>26680</v>
      </c>
      <c r="J510" t="s">
        <v>76</v>
      </c>
      <c r="K510" t="s">
        <v>83</v>
      </c>
      <c r="L510" t="str">
        <f t="shared" si="7"/>
        <v>Friday</v>
      </c>
    </row>
    <row r="511" spans="1:12" ht="14.25" customHeight="1" x14ac:dyDescent="0.45">
      <c r="A511" t="s">
        <v>582</v>
      </c>
      <c r="B511" s="2" t="s">
        <v>583</v>
      </c>
      <c r="C511" t="s">
        <v>72</v>
      </c>
      <c r="D511" t="s">
        <v>398</v>
      </c>
      <c r="E511" t="s">
        <v>448</v>
      </c>
      <c r="F511" t="s">
        <v>123</v>
      </c>
      <c r="G511">
        <v>2</v>
      </c>
      <c r="H511" s="3">
        <v>2280</v>
      </c>
      <c r="I511" s="3">
        <v>4560</v>
      </c>
      <c r="J511" t="s">
        <v>82</v>
      </c>
      <c r="K511" t="s">
        <v>83</v>
      </c>
      <c r="L511" t="str">
        <f t="shared" si="7"/>
        <v>Wednesday</v>
      </c>
    </row>
    <row r="512" spans="1:12" ht="14.25" customHeight="1" x14ac:dyDescent="0.45">
      <c r="A512" t="s">
        <v>935</v>
      </c>
      <c r="B512" s="2" t="s">
        <v>436</v>
      </c>
      <c r="C512" t="s">
        <v>89</v>
      </c>
      <c r="D512" t="s">
        <v>472</v>
      </c>
      <c r="E512" t="s">
        <v>557</v>
      </c>
      <c r="F512" t="s">
        <v>140</v>
      </c>
      <c r="G512">
        <v>2</v>
      </c>
      <c r="H512" s="3">
        <v>1170</v>
      </c>
      <c r="I512" s="3">
        <v>2340</v>
      </c>
      <c r="J512" t="s">
        <v>76</v>
      </c>
      <c r="K512" t="s">
        <v>93</v>
      </c>
      <c r="L512" t="str">
        <f t="shared" si="7"/>
        <v>Saturday</v>
      </c>
    </row>
    <row r="513" spans="1:12" ht="14.25" customHeight="1" x14ac:dyDescent="0.45">
      <c r="A513" t="s">
        <v>172</v>
      </c>
      <c r="B513" s="2" t="s">
        <v>173</v>
      </c>
      <c r="C513" t="s">
        <v>89</v>
      </c>
      <c r="D513" t="s">
        <v>73</v>
      </c>
      <c r="E513" t="s">
        <v>101</v>
      </c>
      <c r="F513" t="s">
        <v>86</v>
      </c>
      <c r="G513">
        <v>2</v>
      </c>
      <c r="H513" s="3">
        <v>41730</v>
      </c>
      <c r="I513" s="3">
        <v>83460</v>
      </c>
      <c r="J513" t="s">
        <v>76</v>
      </c>
      <c r="K513" t="s">
        <v>83</v>
      </c>
      <c r="L513" t="str">
        <f t="shared" si="7"/>
        <v>Tuesday</v>
      </c>
    </row>
    <row r="514" spans="1:12" ht="14.25" customHeight="1" x14ac:dyDescent="0.45">
      <c r="A514" t="s">
        <v>1215</v>
      </c>
      <c r="B514" s="2" t="s">
        <v>148</v>
      </c>
      <c r="C514" t="s">
        <v>96</v>
      </c>
      <c r="D514" t="s">
        <v>472</v>
      </c>
      <c r="E514" t="s">
        <v>557</v>
      </c>
      <c r="F514" t="s">
        <v>131</v>
      </c>
      <c r="G514">
        <v>1</v>
      </c>
      <c r="H514" s="3">
        <v>1170</v>
      </c>
      <c r="I514" s="3">
        <v>1170</v>
      </c>
      <c r="J514" t="s">
        <v>76</v>
      </c>
      <c r="K514" t="s">
        <v>77</v>
      </c>
      <c r="L514" t="str">
        <f t="shared" ref="L514:L577" si="8">TEXT(B514,"dddd")</f>
        <v>Sunday</v>
      </c>
    </row>
    <row r="515" spans="1:12" ht="14.25" customHeight="1" x14ac:dyDescent="0.45">
      <c r="A515" t="s">
        <v>383</v>
      </c>
      <c r="B515" s="2" t="s">
        <v>206</v>
      </c>
      <c r="C515" t="s">
        <v>72</v>
      </c>
      <c r="D515" t="s">
        <v>196</v>
      </c>
      <c r="E515" t="s">
        <v>246</v>
      </c>
      <c r="F515" t="s">
        <v>107</v>
      </c>
      <c r="G515">
        <v>1</v>
      </c>
      <c r="H515" s="3">
        <v>13370</v>
      </c>
      <c r="I515" s="3">
        <v>13370</v>
      </c>
      <c r="J515" t="s">
        <v>76</v>
      </c>
      <c r="K515" t="s">
        <v>83</v>
      </c>
      <c r="L515" t="str">
        <f t="shared" si="8"/>
        <v>Wednesday</v>
      </c>
    </row>
    <row r="516" spans="1:12" ht="14.25" customHeight="1" x14ac:dyDescent="0.45">
      <c r="A516" t="s">
        <v>505</v>
      </c>
      <c r="B516" s="2" t="s">
        <v>491</v>
      </c>
      <c r="C516" t="s">
        <v>96</v>
      </c>
      <c r="D516" t="s">
        <v>398</v>
      </c>
      <c r="E516" t="s">
        <v>399</v>
      </c>
      <c r="F516" t="s">
        <v>81</v>
      </c>
      <c r="G516">
        <v>2</v>
      </c>
      <c r="H516" s="3">
        <v>3170</v>
      </c>
      <c r="I516" s="3">
        <v>6340</v>
      </c>
      <c r="J516" t="s">
        <v>76</v>
      </c>
      <c r="K516" t="s">
        <v>93</v>
      </c>
      <c r="L516" t="str">
        <f t="shared" si="8"/>
        <v>Wednesday</v>
      </c>
    </row>
    <row r="517" spans="1:12" ht="14.25" customHeight="1" x14ac:dyDescent="0.45">
      <c r="A517" t="s">
        <v>477</v>
      </c>
      <c r="B517" s="2" t="s">
        <v>160</v>
      </c>
      <c r="C517" t="s">
        <v>96</v>
      </c>
      <c r="D517" t="s">
        <v>73</v>
      </c>
      <c r="E517" t="s">
        <v>443</v>
      </c>
      <c r="F517" t="s">
        <v>131</v>
      </c>
      <c r="G517">
        <v>2</v>
      </c>
      <c r="H517" s="3">
        <v>3590</v>
      </c>
      <c r="I517" s="3">
        <v>7180</v>
      </c>
      <c r="J517" t="s">
        <v>76</v>
      </c>
      <c r="K517" t="s">
        <v>83</v>
      </c>
      <c r="L517" t="str">
        <f t="shared" si="8"/>
        <v>Monday</v>
      </c>
    </row>
    <row r="518" spans="1:12" ht="14.25" customHeight="1" x14ac:dyDescent="0.45">
      <c r="A518" t="s">
        <v>769</v>
      </c>
      <c r="B518" s="2" t="s">
        <v>770</v>
      </c>
      <c r="C518" t="s">
        <v>80</v>
      </c>
      <c r="D518" t="s">
        <v>398</v>
      </c>
      <c r="E518" t="s">
        <v>399</v>
      </c>
      <c r="F518" t="s">
        <v>131</v>
      </c>
      <c r="G518">
        <v>1</v>
      </c>
      <c r="H518" s="3">
        <v>3200</v>
      </c>
      <c r="I518" s="3">
        <v>3200</v>
      </c>
      <c r="J518" t="s">
        <v>76</v>
      </c>
      <c r="K518" t="s">
        <v>77</v>
      </c>
      <c r="L518" t="str">
        <f t="shared" si="8"/>
        <v>Wednesday</v>
      </c>
    </row>
    <row r="519" spans="1:12" ht="14.25" customHeight="1" x14ac:dyDescent="0.45">
      <c r="A519" t="s">
        <v>230</v>
      </c>
      <c r="B519" s="2" t="s">
        <v>231</v>
      </c>
      <c r="C519" t="s">
        <v>100</v>
      </c>
      <c r="D519" t="s">
        <v>73</v>
      </c>
      <c r="E519" t="s">
        <v>101</v>
      </c>
      <c r="F519" t="s">
        <v>86</v>
      </c>
      <c r="G519">
        <v>1</v>
      </c>
      <c r="H519" s="3">
        <v>42990</v>
      </c>
      <c r="I519" s="3">
        <v>42990</v>
      </c>
      <c r="J519" t="s">
        <v>76</v>
      </c>
      <c r="K519" t="s">
        <v>83</v>
      </c>
      <c r="L519" t="str">
        <f t="shared" si="8"/>
        <v>Wednesday</v>
      </c>
    </row>
    <row r="520" spans="1:12" ht="14.25" customHeight="1" x14ac:dyDescent="0.45">
      <c r="A520" t="s">
        <v>167</v>
      </c>
      <c r="B520" s="2" t="s">
        <v>150</v>
      </c>
      <c r="C520" t="s">
        <v>96</v>
      </c>
      <c r="D520" t="s">
        <v>73</v>
      </c>
      <c r="E520" t="s">
        <v>101</v>
      </c>
      <c r="F520" t="s">
        <v>81</v>
      </c>
      <c r="G520">
        <v>2</v>
      </c>
      <c r="H520" s="3">
        <v>42200</v>
      </c>
      <c r="I520" s="3">
        <v>84400</v>
      </c>
      <c r="J520" t="s">
        <v>76</v>
      </c>
      <c r="K520" t="s">
        <v>83</v>
      </c>
      <c r="L520" t="str">
        <f t="shared" si="8"/>
        <v>Saturday</v>
      </c>
    </row>
    <row r="521" spans="1:12" ht="14.25" customHeight="1" x14ac:dyDescent="0.45">
      <c r="A521" t="s">
        <v>1038</v>
      </c>
      <c r="B521" s="2" t="s">
        <v>585</v>
      </c>
      <c r="C521" t="s">
        <v>89</v>
      </c>
      <c r="D521" t="s">
        <v>334</v>
      </c>
      <c r="E521" t="s">
        <v>527</v>
      </c>
      <c r="F521" t="s">
        <v>140</v>
      </c>
      <c r="G521">
        <v>1</v>
      </c>
      <c r="H521" s="3">
        <v>1880</v>
      </c>
      <c r="I521" s="3">
        <v>1880</v>
      </c>
      <c r="J521" t="s">
        <v>82</v>
      </c>
      <c r="K521" t="s">
        <v>83</v>
      </c>
      <c r="L521" t="str">
        <f t="shared" si="8"/>
        <v>Saturday</v>
      </c>
    </row>
    <row r="522" spans="1:12" ht="14.25" customHeight="1" x14ac:dyDescent="0.45">
      <c r="A522" t="s">
        <v>346</v>
      </c>
      <c r="B522" s="2" t="s">
        <v>347</v>
      </c>
      <c r="C522" t="s">
        <v>89</v>
      </c>
      <c r="D522" t="s">
        <v>196</v>
      </c>
      <c r="E522" t="s">
        <v>214</v>
      </c>
      <c r="F522" t="s">
        <v>107</v>
      </c>
      <c r="G522">
        <v>1</v>
      </c>
      <c r="H522" s="3">
        <v>15500</v>
      </c>
      <c r="I522" s="3">
        <v>15500</v>
      </c>
      <c r="J522" t="s">
        <v>76</v>
      </c>
      <c r="K522" t="s">
        <v>83</v>
      </c>
      <c r="L522" t="str">
        <f t="shared" si="8"/>
        <v>Wednesday</v>
      </c>
    </row>
    <row r="523" spans="1:12" ht="14.25" customHeight="1" x14ac:dyDescent="0.45">
      <c r="A523" t="s">
        <v>1188</v>
      </c>
      <c r="B523" s="2" t="s">
        <v>919</v>
      </c>
      <c r="C523" t="s">
        <v>96</v>
      </c>
      <c r="D523" t="s">
        <v>472</v>
      </c>
      <c r="E523" t="s">
        <v>557</v>
      </c>
      <c r="F523" t="s">
        <v>75</v>
      </c>
      <c r="G523">
        <v>1</v>
      </c>
      <c r="H523" s="3">
        <v>1220</v>
      </c>
      <c r="I523" s="3">
        <v>1220</v>
      </c>
      <c r="J523" t="s">
        <v>82</v>
      </c>
      <c r="K523" t="s">
        <v>93</v>
      </c>
      <c r="L523" t="str">
        <f t="shared" si="8"/>
        <v>Saturday</v>
      </c>
    </row>
    <row r="524" spans="1:12" ht="14.25" customHeight="1" x14ac:dyDescent="0.45">
      <c r="A524" t="s">
        <v>708</v>
      </c>
      <c r="B524" s="2" t="s">
        <v>281</v>
      </c>
      <c r="C524" t="s">
        <v>89</v>
      </c>
      <c r="D524" t="s">
        <v>398</v>
      </c>
      <c r="E524" t="s">
        <v>475</v>
      </c>
      <c r="F524" t="s">
        <v>97</v>
      </c>
      <c r="G524">
        <v>2</v>
      </c>
      <c r="H524" s="3">
        <v>1860</v>
      </c>
      <c r="I524" s="3">
        <v>3720</v>
      </c>
      <c r="J524" t="s">
        <v>76</v>
      </c>
      <c r="K524" t="s">
        <v>83</v>
      </c>
      <c r="L524" t="str">
        <f t="shared" si="8"/>
        <v>Sunday</v>
      </c>
    </row>
    <row r="525" spans="1:12" ht="14.25" customHeight="1" x14ac:dyDescent="0.45">
      <c r="A525" t="s">
        <v>1029</v>
      </c>
      <c r="B525" s="2" t="s">
        <v>791</v>
      </c>
      <c r="C525" t="s">
        <v>80</v>
      </c>
      <c r="D525" t="s">
        <v>472</v>
      </c>
      <c r="E525" t="s">
        <v>691</v>
      </c>
      <c r="F525" t="s">
        <v>81</v>
      </c>
      <c r="G525">
        <v>2</v>
      </c>
      <c r="H525" s="3">
        <v>950</v>
      </c>
      <c r="I525" s="3">
        <v>1900</v>
      </c>
      <c r="J525" t="s">
        <v>76</v>
      </c>
      <c r="K525" t="s">
        <v>93</v>
      </c>
      <c r="L525" t="str">
        <f t="shared" si="8"/>
        <v>Friday</v>
      </c>
    </row>
    <row r="526" spans="1:12" ht="14.25" customHeight="1" x14ac:dyDescent="0.45">
      <c r="A526" t="s">
        <v>1002</v>
      </c>
      <c r="B526" s="2" t="s">
        <v>770</v>
      </c>
      <c r="C526" t="s">
        <v>100</v>
      </c>
      <c r="D526" t="s">
        <v>398</v>
      </c>
      <c r="E526" t="s">
        <v>462</v>
      </c>
      <c r="F526" t="s">
        <v>131</v>
      </c>
      <c r="G526">
        <v>1</v>
      </c>
      <c r="H526" s="3">
        <v>2080</v>
      </c>
      <c r="I526" s="3">
        <v>2080</v>
      </c>
      <c r="J526" t="s">
        <v>76</v>
      </c>
      <c r="K526" t="s">
        <v>77</v>
      </c>
      <c r="L526" t="str">
        <f t="shared" si="8"/>
        <v>Wednesday</v>
      </c>
    </row>
    <row r="527" spans="1:12" ht="14.25" customHeight="1" x14ac:dyDescent="0.45">
      <c r="A527" t="s">
        <v>408</v>
      </c>
      <c r="B527" s="2" t="s">
        <v>223</v>
      </c>
      <c r="C527" t="s">
        <v>96</v>
      </c>
      <c r="D527" t="s">
        <v>73</v>
      </c>
      <c r="E527" t="s">
        <v>211</v>
      </c>
      <c r="F527" t="s">
        <v>123</v>
      </c>
      <c r="G527">
        <v>1</v>
      </c>
      <c r="H527" s="3">
        <v>12260</v>
      </c>
      <c r="I527" s="3">
        <v>12260</v>
      </c>
      <c r="J527" t="s">
        <v>82</v>
      </c>
      <c r="K527" t="s">
        <v>93</v>
      </c>
      <c r="L527" t="str">
        <f t="shared" si="8"/>
        <v>Wednesday</v>
      </c>
    </row>
    <row r="528" spans="1:12" ht="14.25" customHeight="1" x14ac:dyDescent="0.45">
      <c r="A528" t="s">
        <v>490</v>
      </c>
      <c r="B528" s="2" t="s">
        <v>491</v>
      </c>
      <c r="C528" t="s">
        <v>96</v>
      </c>
      <c r="D528" t="s">
        <v>398</v>
      </c>
      <c r="E528" t="s">
        <v>448</v>
      </c>
      <c r="F528" t="s">
        <v>97</v>
      </c>
      <c r="G528">
        <v>3</v>
      </c>
      <c r="H528" s="3">
        <v>2200</v>
      </c>
      <c r="I528" s="3">
        <v>6600</v>
      </c>
      <c r="J528" t="s">
        <v>82</v>
      </c>
      <c r="K528" t="s">
        <v>77</v>
      </c>
      <c r="L528" t="str">
        <f t="shared" si="8"/>
        <v>Wednesday</v>
      </c>
    </row>
    <row r="529" spans="1:12" ht="14.25" customHeight="1" x14ac:dyDescent="0.45">
      <c r="A529" t="s">
        <v>129</v>
      </c>
      <c r="B529" s="2" t="s">
        <v>130</v>
      </c>
      <c r="C529" t="s">
        <v>89</v>
      </c>
      <c r="D529" t="s">
        <v>73</v>
      </c>
      <c r="E529" t="s">
        <v>104</v>
      </c>
      <c r="F529" t="s">
        <v>131</v>
      </c>
      <c r="G529">
        <v>2</v>
      </c>
      <c r="H529" s="3">
        <v>53720</v>
      </c>
      <c r="I529" s="3">
        <v>107440</v>
      </c>
      <c r="J529" t="s">
        <v>82</v>
      </c>
      <c r="K529" t="s">
        <v>93</v>
      </c>
      <c r="L529" t="str">
        <f t="shared" si="8"/>
        <v>Monday</v>
      </c>
    </row>
    <row r="530" spans="1:12" ht="14.25" customHeight="1" x14ac:dyDescent="0.45">
      <c r="A530" t="s">
        <v>245</v>
      </c>
      <c r="B530" s="2" t="s">
        <v>150</v>
      </c>
      <c r="C530" t="s">
        <v>80</v>
      </c>
      <c r="D530" t="s">
        <v>196</v>
      </c>
      <c r="E530" t="s">
        <v>246</v>
      </c>
      <c r="F530" t="s">
        <v>107</v>
      </c>
      <c r="G530">
        <v>3</v>
      </c>
      <c r="H530" s="3">
        <v>13150</v>
      </c>
      <c r="I530" s="3">
        <v>39450</v>
      </c>
      <c r="J530" t="s">
        <v>82</v>
      </c>
      <c r="K530" t="s">
        <v>83</v>
      </c>
      <c r="L530" t="str">
        <f t="shared" si="8"/>
        <v>Saturday</v>
      </c>
    </row>
    <row r="531" spans="1:12" ht="14.25" customHeight="1" x14ac:dyDescent="0.45">
      <c r="A531" t="s">
        <v>932</v>
      </c>
      <c r="B531" s="2" t="s">
        <v>332</v>
      </c>
      <c r="C531" t="s">
        <v>96</v>
      </c>
      <c r="D531" t="s">
        <v>472</v>
      </c>
      <c r="E531" t="s">
        <v>473</v>
      </c>
      <c r="F531" t="s">
        <v>81</v>
      </c>
      <c r="G531">
        <v>1</v>
      </c>
      <c r="H531" s="3">
        <v>2350</v>
      </c>
      <c r="I531" s="3">
        <v>2350</v>
      </c>
      <c r="J531" t="s">
        <v>76</v>
      </c>
      <c r="K531" t="s">
        <v>77</v>
      </c>
      <c r="L531" t="str">
        <f t="shared" si="8"/>
        <v>Thursday</v>
      </c>
    </row>
    <row r="532" spans="1:12" ht="14.25" customHeight="1" x14ac:dyDescent="0.45">
      <c r="A532" t="s">
        <v>1103</v>
      </c>
      <c r="B532" s="2" t="s">
        <v>422</v>
      </c>
      <c r="C532" t="s">
        <v>100</v>
      </c>
      <c r="D532" t="s">
        <v>472</v>
      </c>
      <c r="E532" t="s">
        <v>500</v>
      </c>
      <c r="F532" t="s">
        <v>97</v>
      </c>
      <c r="G532">
        <v>1</v>
      </c>
      <c r="H532" s="3">
        <v>1640</v>
      </c>
      <c r="I532" s="3">
        <v>1640</v>
      </c>
      <c r="J532" t="s">
        <v>76</v>
      </c>
      <c r="K532" t="s">
        <v>93</v>
      </c>
      <c r="L532" t="str">
        <f t="shared" si="8"/>
        <v>Wednesday</v>
      </c>
    </row>
    <row r="533" spans="1:12" ht="14.25" customHeight="1" x14ac:dyDescent="0.45">
      <c r="A533" t="s">
        <v>1003</v>
      </c>
      <c r="B533" s="2" t="s">
        <v>554</v>
      </c>
      <c r="C533" t="s">
        <v>89</v>
      </c>
      <c r="D533" t="s">
        <v>398</v>
      </c>
      <c r="E533" t="s">
        <v>462</v>
      </c>
      <c r="F533" t="s">
        <v>131</v>
      </c>
      <c r="G533">
        <v>1</v>
      </c>
      <c r="H533" s="3">
        <v>2050</v>
      </c>
      <c r="I533" s="3">
        <v>2050</v>
      </c>
      <c r="J533" t="s">
        <v>76</v>
      </c>
      <c r="K533" t="s">
        <v>77</v>
      </c>
      <c r="L533" t="str">
        <f t="shared" si="8"/>
        <v>Tuesday</v>
      </c>
    </row>
    <row r="534" spans="1:12" ht="14.25" customHeight="1" x14ac:dyDescent="0.45">
      <c r="A534" t="s">
        <v>759</v>
      </c>
      <c r="B534" s="2" t="s">
        <v>119</v>
      </c>
      <c r="C534" t="s">
        <v>96</v>
      </c>
      <c r="D534" t="s">
        <v>398</v>
      </c>
      <c r="E534" t="s">
        <v>399</v>
      </c>
      <c r="F534" t="s">
        <v>117</v>
      </c>
      <c r="G534">
        <v>1</v>
      </c>
      <c r="H534" s="3">
        <v>3230</v>
      </c>
      <c r="I534" s="3">
        <v>3230</v>
      </c>
      <c r="J534" t="s">
        <v>76</v>
      </c>
      <c r="K534" t="s">
        <v>77</v>
      </c>
      <c r="L534" t="str">
        <f t="shared" si="8"/>
        <v>Tuesday</v>
      </c>
    </row>
    <row r="535" spans="1:12" ht="14.25" customHeight="1" x14ac:dyDescent="0.45">
      <c r="A535" t="s">
        <v>855</v>
      </c>
      <c r="B535" s="2" t="s">
        <v>225</v>
      </c>
      <c r="C535" t="s">
        <v>89</v>
      </c>
      <c r="D535" t="s">
        <v>73</v>
      </c>
      <c r="E535" t="s">
        <v>441</v>
      </c>
      <c r="F535" t="s">
        <v>90</v>
      </c>
      <c r="G535">
        <v>1</v>
      </c>
      <c r="H535" s="3">
        <v>2790</v>
      </c>
      <c r="I535" s="3">
        <v>2790</v>
      </c>
      <c r="J535" t="s">
        <v>82</v>
      </c>
      <c r="K535" t="s">
        <v>77</v>
      </c>
      <c r="L535" t="str">
        <f t="shared" si="8"/>
        <v>Sunday</v>
      </c>
    </row>
    <row r="536" spans="1:12" ht="14.25" customHeight="1" x14ac:dyDescent="0.45">
      <c r="A536" t="s">
        <v>739</v>
      </c>
      <c r="B536" s="2" t="s">
        <v>139</v>
      </c>
      <c r="C536" t="s">
        <v>80</v>
      </c>
      <c r="D536" t="s">
        <v>73</v>
      </c>
      <c r="E536" t="s">
        <v>443</v>
      </c>
      <c r="F536" t="s">
        <v>90</v>
      </c>
      <c r="G536">
        <v>1</v>
      </c>
      <c r="H536" s="3">
        <v>3440</v>
      </c>
      <c r="I536" s="3">
        <v>3440</v>
      </c>
      <c r="J536" t="s">
        <v>82</v>
      </c>
      <c r="K536" t="s">
        <v>83</v>
      </c>
      <c r="L536" t="str">
        <f t="shared" si="8"/>
        <v>Thursday</v>
      </c>
    </row>
    <row r="537" spans="1:12" ht="14.25" customHeight="1" x14ac:dyDescent="0.45">
      <c r="A537" t="s">
        <v>599</v>
      </c>
      <c r="B537" s="2" t="s">
        <v>122</v>
      </c>
      <c r="C537" t="s">
        <v>96</v>
      </c>
      <c r="D537" t="s">
        <v>196</v>
      </c>
      <c r="E537" t="s">
        <v>300</v>
      </c>
      <c r="F537" t="s">
        <v>75</v>
      </c>
      <c r="G537">
        <v>1</v>
      </c>
      <c r="H537" s="3">
        <v>4430</v>
      </c>
      <c r="I537" s="3">
        <v>4430</v>
      </c>
      <c r="J537" t="s">
        <v>76</v>
      </c>
      <c r="K537" t="s">
        <v>83</v>
      </c>
      <c r="L537" t="str">
        <f t="shared" si="8"/>
        <v>Friday</v>
      </c>
    </row>
    <row r="538" spans="1:12" ht="14.25" customHeight="1" x14ac:dyDescent="0.45">
      <c r="A538" t="s">
        <v>312</v>
      </c>
      <c r="B538" s="2" t="s">
        <v>216</v>
      </c>
      <c r="C538" t="s">
        <v>89</v>
      </c>
      <c r="D538" t="s">
        <v>196</v>
      </c>
      <c r="E538" t="s">
        <v>197</v>
      </c>
      <c r="F538" t="s">
        <v>123</v>
      </c>
      <c r="G538">
        <v>1</v>
      </c>
      <c r="H538" s="3">
        <v>18280</v>
      </c>
      <c r="I538" s="3">
        <v>18280</v>
      </c>
      <c r="J538" t="s">
        <v>76</v>
      </c>
      <c r="K538" t="s">
        <v>77</v>
      </c>
      <c r="L538" t="str">
        <f t="shared" si="8"/>
        <v>Sunday</v>
      </c>
    </row>
    <row r="539" spans="1:12" ht="14.25" customHeight="1" x14ac:dyDescent="0.45">
      <c r="A539" t="s">
        <v>185</v>
      </c>
      <c r="B539" s="2" t="s">
        <v>186</v>
      </c>
      <c r="C539" t="s">
        <v>100</v>
      </c>
      <c r="D539" t="s">
        <v>73</v>
      </c>
      <c r="E539" t="s">
        <v>104</v>
      </c>
      <c r="F539" t="s">
        <v>90</v>
      </c>
      <c r="G539">
        <v>1</v>
      </c>
      <c r="H539" s="3">
        <v>56300</v>
      </c>
      <c r="I539" s="3">
        <v>56300</v>
      </c>
      <c r="J539" t="s">
        <v>76</v>
      </c>
      <c r="K539" t="s">
        <v>83</v>
      </c>
      <c r="L539" t="str">
        <f t="shared" si="8"/>
        <v>Thursday</v>
      </c>
    </row>
    <row r="540" spans="1:12" ht="14.25" customHeight="1" x14ac:dyDescent="0.45">
      <c r="A540" t="s">
        <v>584</v>
      </c>
      <c r="B540" s="2" t="s">
        <v>585</v>
      </c>
      <c r="C540" t="s">
        <v>72</v>
      </c>
      <c r="D540" t="s">
        <v>196</v>
      </c>
      <c r="E540" t="s">
        <v>300</v>
      </c>
      <c r="F540" t="s">
        <v>107</v>
      </c>
      <c r="G540">
        <v>1</v>
      </c>
      <c r="H540" s="3">
        <v>4560</v>
      </c>
      <c r="I540" s="3">
        <v>4560</v>
      </c>
      <c r="J540" t="s">
        <v>76</v>
      </c>
      <c r="K540" t="s">
        <v>77</v>
      </c>
      <c r="L540" t="str">
        <f t="shared" si="8"/>
        <v>Saturday</v>
      </c>
    </row>
    <row r="541" spans="1:12" ht="14.25" customHeight="1" x14ac:dyDescent="0.45">
      <c r="A541" t="s">
        <v>716</v>
      </c>
      <c r="B541" s="2" t="s">
        <v>381</v>
      </c>
      <c r="C541" t="s">
        <v>89</v>
      </c>
      <c r="D541" t="s">
        <v>334</v>
      </c>
      <c r="E541" t="s">
        <v>335</v>
      </c>
      <c r="F541" t="s">
        <v>97</v>
      </c>
      <c r="G541">
        <v>1</v>
      </c>
      <c r="H541" s="3">
        <v>3660</v>
      </c>
      <c r="I541" s="3">
        <v>3660</v>
      </c>
      <c r="J541" t="s">
        <v>76</v>
      </c>
      <c r="K541" t="s">
        <v>83</v>
      </c>
      <c r="L541" t="str">
        <f t="shared" si="8"/>
        <v>Sunday</v>
      </c>
    </row>
    <row r="542" spans="1:12" ht="14.25" customHeight="1" x14ac:dyDescent="0.45">
      <c r="A542" t="s">
        <v>380</v>
      </c>
      <c r="B542" s="2" t="s">
        <v>381</v>
      </c>
      <c r="C542" t="s">
        <v>100</v>
      </c>
      <c r="D542" t="s">
        <v>196</v>
      </c>
      <c r="E542" t="s">
        <v>246</v>
      </c>
      <c r="F542" t="s">
        <v>117</v>
      </c>
      <c r="G542">
        <v>1</v>
      </c>
      <c r="H542" s="3">
        <v>13530</v>
      </c>
      <c r="I542" s="3">
        <v>13530</v>
      </c>
      <c r="J542" t="s">
        <v>82</v>
      </c>
      <c r="K542" t="s">
        <v>83</v>
      </c>
      <c r="L542" t="str">
        <f t="shared" si="8"/>
        <v>Sunday</v>
      </c>
    </row>
    <row r="543" spans="1:12" ht="14.25" customHeight="1" x14ac:dyDescent="0.45">
      <c r="A543" t="s">
        <v>717</v>
      </c>
      <c r="B543" s="2" t="s">
        <v>210</v>
      </c>
      <c r="C543" t="s">
        <v>72</v>
      </c>
      <c r="D543" t="s">
        <v>398</v>
      </c>
      <c r="E543" t="s">
        <v>475</v>
      </c>
      <c r="F543" t="s">
        <v>90</v>
      </c>
      <c r="G543">
        <v>2</v>
      </c>
      <c r="H543" s="3">
        <v>1830</v>
      </c>
      <c r="I543" s="3">
        <v>3660</v>
      </c>
      <c r="J543" t="s">
        <v>82</v>
      </c>
      <c r="K543" t="s">
        <v>77</v>
      </c>
      <c r="L543" t="str">
        <f t="shared" si="8"/>
        <v>Thursday</v>
      </c>
    </row>
    <row r="544" spans="1:12" ht="14.25" customHeight="1" x14ac:dyDescent="0.45">
      <c r="A544" t="s">
        <v>1227</v>
      </c>
      <c r="B544" s="2" t="s">
        <v>99</v>
      </c>
      <c r="C544" t="s">
        <v>72</v>
      </c>
      <c r="D544" t="s">
        <v>472</v>
      </c>
      <c r="E544" t="s">
        <v>691</v>
      </c>
      <c r="F544" t="s">
        <v>117</v>
      </c>
      <c r="G544">
        <v>1</v>
      </c>
      <c r="H544" s="3">
        <v>990</v>
      </c>
      <c r="I544" s="3">
        <v>990</v>
      </c>
      <c r="J544" t="s">
        <v>82</v>
      </c>
      <c r="K544" t="s">
        <v>83</v>
      </c>
      <c r="L544" t="str">
        <f t="shared" si="8"/>
        <v>Saturday</v>
      </c>
    </row>
    <row r="545" spans="1:12" ht="14.25" customHeight="1" x14ac:dyDescent="0.45">
      <c r="A545" t="s">
        <v>587</v>
      </c>
      <c r="B545" s="2" t="s">
        <v>588</v>
      </c>
      <c r="C545" t="s">
        <v>100</v>
      </c>
      <c r="D545" t="s">
        <v>196</v>
      </c>
      <c r="E545" t="s">
        <v>300</v>
      </c>
      <c r="F545" t="s">
        <v>140</v>
      </c>
      <c r="G545">
        <v>1</v>
      </c>
      <c r="H545" s="3">
        <v>4540</v>
      </c>
      <c r="I545" s="3">
        <v>4540</v>
      </c>
      <c r="J545" t="s">
        <v>76</v>
      </c>
      <c r="K545" t="s">
        <v>93</v>
      </c>
      <c r="L545" t="str">
        <f t="shared" si="8"/>
        <v>Sunday</v>
      </c>
    </row>
    <row r="546" spans="1:12" ht="14.25" customHeight="1" x14ac:dyDescent="0.45">
      <c r="A546" t="s">
        <v>138</v>
      </c>
      <c r="B546" s="2" t="s">
        <v>139</v>
      </c>
      <c r="C546" t="s">
        <v>96</v>
      </c>
      <c r="D546" t="s">
        <v>73</v>
      </c>
      <c r="E546" t="s">
        <v>74</v>
      </c>
      <c r="F546" t="s">
        <v>140</v>
      </c>
      <c r="G546">
        <v>1</v>
      </c>
      <c r="H546" s="3">
        <v>98150</v>
      </c>
      <c r="I546" s="3">
        <v>98150</v>
      </c>
      <c r="J546" t="s">
        <v>76</v>
      </c>
      <c r="K546" t="s">
        <v>77</v>
      </c>
      <c r="L546" t="str">
        <f t="shared" si="8"/>
        <v>Thursday</v>
      </c>
    </row>
    <row r="547" spans="1:12" ht="14.25" customHeight="1" x14ac:dyDescent="0.45">
      <c r="A547" t="s">
        <v>814</v>
      </c>
      <c r="B547" s="2" t="s">
        <v>550</v>
      </c>
      <c r="C547" t="s">
        <v>100</v>
      </c>
      <c r="D547" t="s">
        <v>472</v>
      </c>
      <c r="E547" t="s">
        <v>497</v>
      </c>
      <c r="F547" t="s">
        <v>140</v>
      </c>
      <c r="G547">
        <v>1</v>
      </c>
      <c r="H547" s="3">
        <v>3090</v>
      </c>
      <c r="I547" s="3">
        <v>3090</v>
      </c>
      <c r="J547" t="s">
        <v>82</v>
      </c>
      <c r="K547" t="s">
        <v>83</v>
      </c>
      <c r="L547" t="str">
        <f t="shared" si="8"/>
        <v>Thursday</v>
      </c>
    </row>
    <row r="548" spans="1:12" ht="14.25" customHeight="1" x14ac:dyDescent="0.45">
      <c r="A548" t="s">
        <v>297</v>
      </c>
      <c r="B548" s="2" t="s">
        <v>298</v>
      </c>
      <c r="C548" t="s">
        <v>100</v>
      </c>
      <c r="D548" t="s">
        <v>196</v>
      </c>
      <c r="E548" t="s">
        <v>197</v>
      </c>
      <c r="F548" t="s">
        <v>90</v>
      </c>
      <c r="G548">
        <v>1</v>
      </c>
      <c r="H548" s="3">
        <v>18810</v>
      </c>
      <c r="I548" s="3">
        <v>18810</v>
      </c>
      <c r="J548" t="s">
        <v>76</v>
      </c>
      <c r="K548" t="s">
        <v>83</v>
      </c>
      <c r="L548" t="str">
        <f t="shared" si="8"/>
        <v>Friday</v>
      </c>
    </row>
    <row r="549" spans="1:12" ht="14.25" customHeight="1" x14ac:dyDescent="0.45">
      <c r="A549" t="s">
        <v>724</v>
      </c>
      <c r="B549" s="2" t="s">
        <v>391</v>
      </c>
      <c r="C549" t="s">
        <v>89</v>
      </c>
      <c r="D549" t="s">
        <v>73</v>
      </c>
      <c r="E549" t="s">
        <v>443</v>
      </c>
      <c r="F549" t="s">
        <v>107</v>
      </c>
      <c r="G549">
        <v>1</v>
      </c>
      <c r="H549" s="3">
        <v>3570</v>
      </c>
      <c r="I549" s="3">
        <v>3570</v>
      </c>
      <c r="J549" t="s">
        <v>82</v>
      </c>
      <c r="K549" t="s">
        <v>93</v>
      </c>
      <c r="L549" t="str">
        <f t="shared" si="8"/>
        <v>Monday</v>
      </c>
    </row>
    <row r="550" spans="1:12" ht="14.25" customHeight="1" x14ac:dyDescent="0.45">
      <c r="A550" t="s">
        <v>1129</v>
      </c>
      <c r="B550" s="2" t="s">
        <v>385</v>
      </c>
      <c r="C550" t="s">
        <v>72</v>
      </c>
      <c r="D550" t="s">
        <v>334</v>
      </c>
      <c r="E550" t="s">
        <v>515</v>
      </c>
      <c r="F550" t="s">
        <v>123</v>
      </c>
      <c r="G550">
        <v>1</v>
      </c>
      <c r="H550" s="3">
        <v>1560</v>
      </c>
      <c r="I550" s="3">
        <v>1560</v>
      </c>
      <c r="J550" t="s">
        <v>76</v>
      </c>
      <c r="K550" t="s">
        <v>77</v>
      </c>
      <c r="L550" t="str">
        <f t="shared" si="8"/>
        <v>Monday</v>
      </c>
    </row>
    <row r="551" spans="1:12" ht="14.25" customHeight="1" x14ac:dyDescent="0.45">
      <c r="A551" t="s">
        <v>901</v>
      </c>
      <c r="B551" s="2" t="s">
        <v>374</v>
      </c>
      <c r="C551" t="s">
        <v>96</v>
      </c>
      <c r="D551" t="s">
        <v>472</v>
      </c>
      <c r="E551" t="s">
        <v>473</v>
      </c>
      <c r="F551" t="s">
        <v>81</v>
      </c>
      <c r="G551">
        <v>1</v>
      </c>
      <c r="H551" s="3">
        <v>2460</v>
      </c>
      <c r="I551" s="3">
        <v>2460</v>
      </c>
      <c r="J551" t="s">
        <v>76</v>
      </c>
      <c r="K551" t="s">
        <v>77</v>
      </c>
      <c r="L551" t="str">
        <f t="shared" si="8"/>
        <v>Wednesday</v>
      </c>
    </row>
    <row r="552" spans="1:12" ht="14.25" customHeight="1" x14ac:dyDescent="0.45">
      <c r="A552" t="s">
        <v>637</v>
      </c>
      <c r="B552" s="2" t="s">
        <v>242</v>
      </c>
      <c r="C552" t="s">
        <v>80</v>
      </c>
      <c r="D552" t="s">
        <v>398</v>
      </c>
      <c r="E552" t="s">
        <v>448</v>
      </c>
      <c r="F552" t="s">
        <v>81</v>
      </c>
      <c r="G552">
        <v>2</v>
      </c>
      <c r="H552" s="3">
        <v>2130</v>
      </c>
      <c r="I552" s="3">
        <v>4260</v>
      </c>
      <c r="J552" t="s">
        <v>76</v>
      </c>
      <c r="K552" t="s">
        <v>93</v>
      </c>
      <c r="L552" t="str">
        <f t="shared" si="8"/>
        <v>Tuesday</v>
      </c>
    </row>
    <row r="553" spans="1:12" ht="14.25" customHeight="1" x14ac:dyDescent="0.45">
      <c r="A553" t="s">
        <v>761</v>
      </c>
      <c r="B553" s="2" t="s">
        <v>591</v>
      </c>
      <c r="C553" t="s">
        <v>89</v>
      </c>
      <c r="D553" t="s">
        <v>472</v>
      </c>
      <c r="E553" t="s">
        <v>500</v>
      </c>
      <c r="F553" t="s">
        <v>75</v>
      </c>
      <c r="G553">
        <v>2</v>
      </c>
      <c r="H553" s="3">
        <v>1610</v>
      </c>
      <c r="I553" s="3">
        <v>3220</v>
      </c>
      <c r="J553" t="s">
        <v>76</v>
      </c>
      <c r="K553" t="s">
        <v>83</v>
      </c>
      <c r="L553" t="str">
        <f t="shared" si="8"/>
        <v>Tuesday</v>
      </c>
    </row>
    <row r="554" spans="1:12" ht="14.25" customHeight="1" x14ac:dyDescent="0.45">
      <c r="A554" t="s">
        <v>860</v>
      </c>
      <c r="B554" s="2" t="s">
        <v>489</v>
      </c>
      <c r="C554" t="s">
        <v>96</v>
      </c>
      <c r="D554" t="s">
        <v>73</v>
      </c>
      <c r="E554" t="s">
        <v>441</v>
      </c>
      <c r="F554" t="s">
        <v>75</v>
      </c>
      <c r="G554">
        <v>1</v>
      </c>
      <c r="H554" s="3">
        <v>2740</v>
      </c>
      <c r="I554" s="3">
        <v>2740</v>
      </c>
      <c r="J554" t="s">
        <v>76</v>
      </c>
      <c r="K554" t="s">
        <v>83</v>
      </c>
      <c r="L554" t="str">
        <f t="shared" si="8"/>
        <v>Thursday</v>
      </c>
    </row>
    <row r="555" spans="1:12" ht="14.25" customHeight="1" x14ac:dyDescent="0.45">
      <c r="A555" t="s">
        <v>687</v>
      </c>
      <c r="B555" s="2" t="s">
        <v>298</v>
      </c>
      <c r="C555" t="s">
        <v>96</v>
      </c>
      <c r="D555" t="s">
        <v>334</v>
      </c>
      <c r="E555" t="s">
        <v>335</v>
      </c>
      <c r="F555" t="s">
        <v>81</v>
      </c>
      <c r="G555">
        <v>1</v>
      </c>
      <c r="H555" s="3">
        <v>3840</v>
      </c>
      <c r="I555" s="3">
        <v>3840</v>
      </c>
      <c r="J555" t="s">
        <v>82</v>
      </c>
      <c r="K555" t="s">
        <v>93</v>
      </c>
      <c r="L555" t="str">
        <f t="shared" si="8"/>
        <v>Friday</v>
      </c>
    </row>
    <row r="556" spans="1:12" ht="14.25" customHeight="1" x14ac:dyDescent="0.45">
      <c r="A556" t="s">
        <v>296</v>
      </c>
      <c r="B556" s="2" t="s">
        <v>175</v>
      </c>
      <c r="C556" t="s">
        <v>80</v>
      </c>
      <c r="D556" t="s">
        <v>196</v>
      </c>
      <c r="E556" t="s">
        <v>197</v>
      </c>
      <c r="F556" t="s">
        <v>90</v>
      </c>
      <c r="G556">
        <v>1</v>
      </c>
      <c r="H556" s="3">
        <v>18950</v>
      </c>
      <c r="I556" s="3">
        <v>18950</v>
      </c>
      <c r="J556" t="s">
        <v>76</v>
      </c>
      <c r="K556" t="s">
        <v>77</v>
      </c>
      <c r="L556" t="str">
        <f t="shared" si="8"/>
        <v>Saturday</v>
      </c>
    </row>
    <row r="557" spans="1:12" ht="14.25" customHeight="1" x14ac:dyDescent="0.45">
      <c r="A557" t="s">
        <v>543</v>
      </c>
      <c r="B557" s="2" t="s">
        <v>544</v>
      </c>
      <c r="C557" t="s">
        <v>89</v>
      </c>
      <c r="D557" t="s">
        <v>398</v>
      </c>
      <c r="E557" t="s">
        <v>464</v>
      </c>
      <c r="F557" t="s">
        <v>97</v>
      </c>
      <c r="G557">
        <v>2</v>
      </c>
      <c r="H557" s="3">
        <v>2560</v>
      </c>
      <c r="I557" s="3">
        <v>5120</v>
      </c>
      <c r="J557" t="s">
        <v>76</v>
      </c>
      <c r="K557" t="s">
        <v>93</v>
      </c>
      <c r="L557" t="str">
        <f t="shared" si="8"/>
        <v>Sunday</v>
      </c>
    </row>
    <row r="558" spans="1:12" ht="14.25" customHeight="1" x14ac:dyDescent="0.45">
      <c r="A558" t="s">
        <v>357</v>
      </c>
      <c r="B558" s="2" t="s">
        <v>352</v>
      </c>
      <c r="C558" t="s">
        <v>89</v>
      </c>
      <c r="D558" t="s">
        <v>196</v>
      </c>
      <c r="E558" t="s">
        <v>214</v>
      </c>
      <c r="F558" t="s">
        <v>81</v>
      </c>
      <c r="G558">
        <v>1</v>
      </c>
      <c r="H558" s="3">
        <v>15140</v>
      </c>
      <c r="I558" s="3">
        <v>15140</v>
      </c>
      <c r="J558" t="s">
        <v>76</v>
      </c>
      <c r="K558" t="s">
        <v>93</v>
      </c>
      <c r="L558" t="str">
        <f t="shared" si="8"/>
        <v>Saturday</v>
      </c>
    </row>
    <row r="559" spans="1:12" ht="14.25" customHeight="1" x14ac:dyDescent="0.45">
      <c r="A559" t="s">
        <v>342</v>
      </c>
      <c r="B559" s="2" t="s">
        <v>343</v>
      </c>
      <c r="C559" t="s">
        <v>72</v>
      </c>
      <c r="D559" t="s">
        <v>196</v>
      </c>
      <c r="E559" t="s">
        <v>214</v>
      </c>
      <c r="F559" t="s">
        <v>81</v>
      </c>
      <c r="G559">
        <v>1</v>
      </c>
      <c r="H559" s="3">
        <v>15550</v>
      </c>
      <c r="I559" s="3">
        <v>15550</v>
      </c>
      <c r="J559" t="s">
        <v>76</v>
      </c>
      <c r="K559" t="s">
        <v>83</v>
      </c>
      <c r="L559" t="str">
        <f t="shared" si="8"/>
        <v>Monday</v>
      </c>
    </row>
    <row r="560" spans="1:12" ht="14.25" customHeight="1" x14ac:dyDescent="0.45">
      <c r="A560" t="s">
        <v>920</v>
      </c>
      <c r="B560" s="2" t="s">
        <v>843</v>
      </c>
      <c r="C560" t="s">
        <v>89</v>
      </c>
      <c r="D560" t="s">
        <v>472</v>
      </c>
      <c r="E560" t="s">
        <v>473</v>
      </c>
      <c r="F560" t="s">
        <v>123</v>
      </c>
      <c r="G560">
        <v>1</v>
      </c>
      <c r="H560" s="3">
        <v>2410</v>
      </c>
      <c r="I560" s="3">
        <v>2410</v>
      </c>
      <c r="J560" t="s">
        <v>76</v>
      </c>
      <c r="K560" t="s">
        <v>83</v>
      </c>
      <c r="L560" t="str">
        <f t="shared" si="8"/>
        <v>Sunday</v>
      </c>
    </row>
    <row r="561" spans="1:12" ht="14.25" customHeight="1" x14ac:dyDescent="0.45">
      <c r="A561" t="s">
        <v>418</v>
      </c>
      <c r="B561" s="2" t="s">
        <v>216</v>
      </c>
      <c r="C561" t="s">
        <v>96</v>
      </c>
      <c r="D561" t="s">
        <v>73</v>
      </c>
      <c r="E561" t="s">
        <v>211</v>
      </c>
      <c r="F561" t="s">
        <v>117</v>
      </c>
      <c r="G561">
        <v>1</v>
      </c>
      <c r="H561" s="3">
        <v>12020</v>
      </c>
      <c r="I561" s="3">
        <v>12020</v>
      </c>
      <c r="J561" t="s">
        <v>82</v>
      </c>
      <c r="K561" t="s">
        <v>83</v>
      </c>
      <c r="L561" t="str">
        <f t="shared" si="8"/>
        <v>Sunday</v>
      </c>
    </row>
    <row r="562" spans="1:12" ht="14.25" customHeight="1" x14ac:dyDescent="0.45">
      <c r="A562" t="s">
        <v>442</v>
      </c>
      <c r="B562" s="2" t="s">
        <v>200</v>
      </c>
      <c r="C562" t="s">
        <v>72</v>
      </c>
      <c r="D562" t="s">
        <v>73</v>
      </c>
      <c r="E562" t="s">
        <v>443</v>
      </c>
      <c r="F562" t="s">
        <v>97</v>
      </c>
      <c r="G562">
        <v>3</v>
      </c>
      <c r="H562" s="3">
        <v>3550</v>
      </c>
      <c r="I562" s="3">
        <v>10650</v>
      </c>
      <c r="J562" t="s">
        <v>82</v>
      </c>
      <c r="K562" t="s">
        <v>83</v>
      </c>
      <c r="L562" t="str">
        <f t="shared" si="8"/>
        <v>Thursday</v>
      </c>
    </row>
    <row r="563" spans="1:12" ht="14.25" customHeight="1" x14ac:dyDescent="0.45">
      <c r="A563" t="s">
        <v>795</v>
      </c>
      <c r="B563" s="2" t="s">
        <v>171</v>
      </c>
      <c r="C563" t="s">
        <v>80</v>
      </c>
      <c r="D563" t="s">
        <v>398</v>
      </c>
      <c r="E563" t="s">
        <v>399</v>
      </c>
      <c r="F563" t="s">
        <v>140</v>
      </c>
      <c r="G563">
        <v>1</v>
      </c>
      <c r="H563" s="3">
        <v>3150</v>
      </c>
      <c r="I563" s="3">
        <v>3150</v>
      </c>
      <c r="J563" t="s">
        <v>76</v>
      </c>
      <c r="K563" t="s">
        <v>93</v>
      </c>
      <c r="L563" t="str">
        <f t="shared" si="8"/>
        <v>Thursday</v>
      </c>
    </row>
    <row r="564" spans="1:12" ht="14.25" customHeight="1" x14ac:dyDescent="0.45">
      <c r="A564" t="s">
        <v>1055</v>
      </c>
      <c r="B564" s="2" t="s">
        <v>591</v>
      </c>
      <c r="C564" t="s">
        <v>89</v>
      </c>
      <c r="D564" t="s">
        <v>398</v>
      </c>
      <c r="E564" t="s">
        <v>475</v>
      </c>
      <c r="F564" t="s">
        <v>140</v>
      </c>
      <c r="G564">
        <v>1</v>
      </c>
      <c r="H564" s="3">
        <v>1850</v>
      </c>
      <c r="I564" s="3">
        <v>1850</v>
      </c>
      <c r="J564" t="s">
        <v>82</v>
      </c>
      <c r="K564" t="s">
        <v>77</v>
      </c>
      <c r="L564" t="str">
        <f t="shared" si="8"/>
        <v>Tuesday</v>
      </c>
    </row>
    <row r="565" spans="1:12" ht="14.25" customHeight="1" x14ac:dyDescent="0.45">
      <c r="A565" t="s">
        <v>425</v>
      </c>
      <c r="B565" s="2" t="s">
        <v>404</v>
      </c>
      <c r="C565" t="s">
        <v>89</v>
      </c>
      <c r="D565" t="s">
        <v>73</v>
      </c>
      <c r="E565" t="s">
        <v>211</v>
      </c>
      <c r="F565" t="s">
        <v>75</v>
      </c>
      <c r="G565">
        <v>1</v>
      </c>
      <c r="H565" s="3">
        <v>11840</v>
      </c>
      <c r="I565" s="3">
        <v>11840</v>
      </c>
      <c r="J565" t="s">
        <v>76</v>
      </c>
      <c r="K565" t="s">
        <v>93</v>
      </c>
      <c r="L565" t="str">
        <f t="shared" si="8"/>
        <v>Thursday</v>
      </c>
    </row>
    <row r="566" spans="1:12" ht="14.25" customHeight="1" x14ac:dyDescent="0.45">
      <c r="A566" t="s">
        <v>1130</v>
      </c>
      <c r="B566" s="2" t="s">
        <v>95</v>
      </c>
      <c r="C566" t="s">
        <v>72</v>
      </c>
      <c r="D566" t="s">
        <v>472</v>
      </c>
      <c r="E566" t="s">
        <v>500</v>
      </c>
      <c r="F566" t="s">
        <v>140</v>
      </c>
      <c r="G566">
        <v>1</v>
      </c>
      <c r="H566" s="3">
        <v>1560</v>
      </c>
      <c r="I566" s="3">
        <v>1560</v>
      </c>
      <c r="J566" t="s">
        <v>76</v>
      </c>
      <c r="K566" t="s">
        <v>77</v>
      </c>
      <c r="L566" t="str">
        <f t="shared" si="8"/>
        <v>Tuesday</v>
      </c>
    </row>
    <row r="567" spans="1:12" ht="14.25" customHeight="1" x14ac:dyDescent="0.45">
      <c r="A567" t="s">
        <v>364</v>
      </c>
      <c r="B567" s="2" t="s">
        <v>365</v>
      </c>
      <c r="C567" t="s">
        <v>80</v>
      </c>
      <c r="D567" t="s">
        <v>196</v>
      </c>
      <c r="E567" t="s">
        <v>214</v>
      </c>
      <c r="F567" t="s">
        <v>97</v>
      </c>
      <c r="G567">
        <v>1</v>
      </c>
      <c r="H567" s="3">
        <v>15020</v>
      </c>
      <c r="I567" s="3">
        <v>15020</v>
      </c>
      <c r="J567" t="s">
        <v>82</v>
      </c>
      <c r="K567" t="s">
        <v>93</v>
      </c>
      <c r="L567" t="str">
        <f t="shared" si="8"/>
        <v>Friday</v>
      </c>
    </row>
    <row r="568" spans="1:12" ht="14.25" customHeight="1" x14ac:dyDescent="0.45">
      <c r="A568" t="s">
        <v>678</v>
      </c>
      <c r="B568" s="2" t="s">
        <v>562</v>
      </c>
      <c r="C568" t="s">
        <v>80</v>
      </c>
      <c r="D568" t="s">
        <v>334</v>
      </c>
      <c r="E568" t="s">
        <v>335</v>
      </c>
      <c r="F568" t="s">
        <v>140</v>
      </c>
      <c r="G568">
        <v>1</v>
      </c>
      <c r="H568" s="3">
        <v>3930</v>
      </c>
      <c r="I568" s="3">
        <v>3930</v>
      </c>
      <c r="J568" t="s">
        <v>82</v>
      </c>
      <c r="K568" t="s">
        <v>77</v>
      </c>
      <c r="L568" t="str">
        <f t="shared" si="8"/>
        <v>Saturday</v>
      </c>
    </row>
    <row r="569" spans="1:12" ht="14.25" customHeight="1" x14ac:dyDescent="0.45">
      <c r="A569" t="s">
        <v>1107</v>
      </c>
      <c r="B569" s="2" t="s">
        <v>552</v>
      </c>
      <c r="C569" t="s">
        <v>89</v>
      </c>
      <c r="D569" t="s">
        <v>472</v>
      </c>
      <c r="E569" t="s">
        <v>500</v>
      </c>
      <c r="F569" t="s">
        <v>123</v>
      </c>
      <c r="G569">
        <v>1</v>
      </c>
      <c r="H569" s="3">
        <v>1630</v>
      </c>
      <c r="I569" s="3">
        <v>1630</v>
      </c>
      <c r="J569" t="s">
        <v>76</v>
      </c>
      <c r="K569" t="s">
        <v>77</v>
      </c>
      <c r="L569" t="str">
        <f t="shared" si="8"/>
        <v>Saturday</v>
      </c>
    </row>
    <row r="570" spans="1:12" ht="14.25" customHeight="1" x14ac:dyDescent="0.45">
      <c r="A570" t="s">
        <v>666</v>
      </c>
      <c r="B570" s="2" t="s">
        <v>667</v>
      </c>
      <c r="C570" t="s">
        <v>89</v>
      </c>
      <c r="D570" t="s">
        <v>398</v>
      </c>
      <c r="E570" t="s">
        <v>462</v>
      </c>
      <c r="F570" t="s">
        <v>117</v>
      </c>
      <c r="G570">
        <v>2</v>
      </c>
      <c r="H570" s="3">
        <v>2050</v>
      </c>
      <c r="I570" s="3">
        <v>4100</v>
      </c>
      <c r="J570" t="s">
        <v>76</v>
      </c>
      <c r="K570" t="s">
        <v>83</v>
      </c>
      <c r="L570" t="str">
        <f t="shared" si="8"/>
        <v>Sunday</v>
      </c>
    </row>
    <row r="571" spans="1:12" ht="14.25" customHeight="1" x14ac:dyDescent="0.45">
      <c r="A571" t="s">
        <v>116</v>
      </c>
      <c r="B571" s="2" t="s">
        <v>99</v>
      </c>
      <c r="C571" t="s">
        <v>89</v>
      </c>
      <c r="D571" t="s">
        <v>73</v>
      </c>
      <c r="E571" t="s">
        <v>104</v>
      </c>
      <c r="F571" t="s">
        <v>117</v>
      </c>
      <c r="G571">
        <v>2</v>
      </c>
      <c r="H571" s="3">
        <v>56790</v>
      </c>
      <c r="I571" s="3">
        <v>113580</v>
      </c>
      <c r="J571" t="s">
        <v>82</v>
      </c>
      <c r="K571" t="s">
        <v>93</v>
      </c>
      <c r="L571" t="str">
        <f t="shared" si="8"/>
        <v>Saturday</v>
      </c>
    </row>
    <row r="572" spans="1:12" ht="14.25" customHeight="1" x14ac:dyDescent="0.45">
      <c r="A572" t="s">
        <v>1147</v>
      </c>
      <c r="B572" s="2" t="s">
        <v>109</v>
      </c>
      <c r="C572" t="s">
        <v>80</v>
      </c>
      <c r="D572" t="s">
        <v>334</v>
      </c>
      <c r="E572" t="s">
        <v>515</v>
      </c>
      <c r="F572" t="s">
        <v>86</v>
      </c>
      <c r="G572">
        <v>1</v>
      </c>
      <c r="H572" s="3">
        <v>1520</v>
      </c>
      <c r="I572" s="3">
        <v>1520</v>
      </c>
      <c r="J572" t="s">
        <v>76</v>
      </c>
      <c r="K572" t="s">
        <v>83</v>
      </c>
      <c r="L572" t="str">
        <f t="shared" si="8"/>
        <v>Saturday</v>
      </c>
    </row>
    <row r="573" spans="1:12" ht="14.25" customHeight="1" x14ac:dyDescent="0.45">
      <c r="A573" t="s">
        <v>1108</v>
      </c>
      <c r="B573" s="2" t="s">
        <v>150</v>
      </c>
      <c r="C573" t="s">
        <v>89</v>
      </c>
      <c r="D573" t="s">
        <v>472</v>
      </c>
      <c r="E573" t="s">
        <v>500</v>
      </c>
      <c r="F573" t="s">
        <v>86</v>
      </c>
      <c r="G573">
        <v>1</v>
      </c>
      <c r="H573" s="3">
        <v>1630</v>
      </c>
      <c r="I573" s="3">
        <v>1630</v>
      </c>
      <c r="J573" t="s">
        <v>76</v>
      </c>
      <c r="K573" t="s">
        <v>77</v>
      </c>
      <c r="L573" t="str">
        <f t="shared" si="8"/>
        <v>Saturday</v>
      </c>
    </row>
    <row r="574" spans="1:12" ht="14.25" customHeight="1" x14ac:dyDescent="0.45">
      <c r="A574" t="s">
        <v>702</v>
      </c>
      <c r="B574" s="2" t="s">
        <v>385</v>
      </c>
      <c r="C574" t="s">
        <v>96</v>
      </c>
      <c r="D574" t="s">
        <v>334</v>
      </c>
      <c r="E574" t="s">
        <v>335</v>
      </c>
      <c r="F574" t="s">
        <v>81</v>
      </c>
      <c r="G574">
        <v>1</v>
      </c>
      <c r="H574" s="3">
        <v>3740</v>
      </c>
      <c r="I574" s="3">
        <v>3740</v>
      </c>
      <c r="J574" t="s">
        <v>76</v>
      </c>
      <c r="K574" t="s">
        <v>93</v>
      </c>
      <c r="L574" t="str">
        <f t="shared" si="8"/>
        <v>Monday</v>
      </c>
    </row>
    <row r="575" spans="1:12" ht="14.25" customHeight="1" x14ac:dyDescent="0.45">
      <c r="A575" t="s">
        <v>763</v>
      </c>
      <c r="B575" s="2" t="s">
        <v>540</v>
      </c>
      <c r="C575" t="s">
        <v>89</v>
      </c>
      <c r="D575" t="s">
        <v>398</v>
      </c>
      <c r="E575" t="s">
        <v>399</v>
      </c>
      <c r="F575" t="s">
        <v>123</v>
      </c>
      <c r="G575">
        <v>1</v>
      </c>
      <c r="H575" s="3">
        <v>3210</v>
      </c>
      <c r="I575" s="3">
        <v>3210</v>
      </c>
      <c r="J575" t="s">
        <v>76</v>
      </c>
      <c r="K575" t="s">
        <v>93</v>
      </c>
      <c r="L575" t="str">
        <f t="shared" si="8"/>
        <v>Monday</v>
      </c>
    </row>
    <row r="576" spans="1:12" ht="14.25" customHeight="1" x14ac:dyDescent="0.45">
      <c r="A576" t="s">
        <v>567</v>
      </c>
      <c r="B576" s="2" t="s">
        <v>213</v>
      </c>
      <c r="C576" t="s">
        <v>96</v>
      </c>
      <c r="D576" t="s">
        <v>472</v>
      </c>
      <c r="E576" t="s">
        <v>500</v>
      </c>
      <c r="F576" t="s">
        <v>97</v>
      </c>
      <c r="G576">
        <v>3</v>
      </c>
      <c r="H576" s="3">
        <v>1540</v>
      </c>
      <c r="I576" s="3">
        <v>4620</v>
      </c>
      <c r="J576" t="s">
        <v>82</v>
      </c>
      <c r="K576" t="s">
        <v>83</v>
      </c>
      <c r="L576" t="str">
        <f t="shared" si="8"/>
        <v>Tuesday</v>
      </c>
    </row>
    <row r="577" spans="1:12" ht="14.25" customHeight="1" x14ac:dyDescent="0.45">
      <c r="A577" t="s">
        <v>559</v>
      </c>
      <c r="B577" s="2" t="s">
        <v>137</v>
      </c>
      <c r="C577" t="s">
        <v>89</v>
      </c>
      <c r="D577" t="s">
        <v>472</v>
      </c>
      <c r="E577" t="s">
        <v>473</v>
      </c>
      <c r="F577" t="s">
        <v>75</v>
      </c>
      <c r="G577">
        <v>2</v>
      </c>
      <c r="H577" s="3">
        <v>2370</v>
      </c>
      <c r="I577" s="3">
        <v>4740</v>
      </c>
      <c r="J577" t="s">
        <v>76</v>
      </c>
      <c r="K577" t="s">
        <v>93</v>
      </c>
      <c r="L577" t="str">
        <f t="shared" si="8"/>
        <v>Monday</v>
      </c>
    </row>
    <row r="578" spans="1:12" ht="14.25" customHeight="1" x14ac:dyDescent="0.45">
      <c r="A578" t="s">
        <v>504</v>
      </c>
      <c r="B578" s="2" t="s">
        <v>160</v>
      </c>
      <c r="C578" t="s">
        <v>89</v>
      </c>
      <c r="D578" t="s">
        <v>472</v>
      </c>
      <c r="E578" t="s">
        <v>497</v>
      </c>
      <c r="F578" t="s">
        <v>90</v>
      </c>
      <c r="G578">
        <v>2</v>
      </c>
      <c r="H578" s="3">
        <v>3180</v>
      </c>
      <c r="I578" s="3">
        <v>6360</v>
      </c>
      <c r="J578" t="s">
        <v>82</v>
      </c>
      <c r="K578" t="s">
        <v>83</v>
      </c>
      <c r="L578" t="str">
        <f t="shared" ref="L578:L641" si="9">TEXT(B578,"dddd")</f>
        <v>Monday</v>
      </c>
    </row>
    <row r="579" spans="1:12" ht="14.25" customHeight="1" x14ac:dyDescent="0.45">
      <c r="A579" t="s">
        <v>279</v>
      </c>
      <c r="B579" s="2" t="s">
        <v>71</v>
      </c>
      <c r="C579" t="s">
        <v>89</v>
      </c>
      <c r="D579" t="s">
        <v>196</v>
      </c>
      <c r="E579" t="s">
        <v>246</v>
      </c>
      <c r="F579" t="s">
        <v>81</v>
      </c>
      <c r="G579">
        <v>2</v>
      </c>
      <c r="H579" s="3">
        <v>13140</v>
      </c>
      <c r="I579" s="3">
        <v>26280</v>
      </c>
      <c r="J579" t="s">
        <v>76</v>
      </c>
      <c r="K579" t="s">
        <v>83</v>
      </c>
      <c r="L579" t="str">
        <f t="shared" si="9"/>
        <v>Friday</v>
      </c>
    </row>
    <row r="580" spans="1:12" ht="14.25" customHeight="1" x14ac:dyDescent="0.45">
      <c r="A580" t="s">
        <v>118</v>
      </c>
      <c r="B580" s="2" t="s">
        <v>119</v>
      </c>
      <c r="C580" t="s">
        <v>96</v>
      </c>
      <c r="D580" t="s">
        <v>73</v>
      </c>
      <c r="E580" t="s">
        <v>104</v>
      </c>
      <c r="F580" t="s">
        <v>86</v>
      </c>
      <c r="G580">
        <v>2</v>
      </c>
      <c r="H580" s="3">
        <v>55900</v>
      </c>
      <c r="I580" s="3">
        <v>111800</v>
      </c>
      <c r="J580" t="s">
        <v>76</v>
      </c>
      <c r="K580" t="s">
        <v>77</v>
      </c>
      <c r="L580" t="str">
        <f t="shared" si="9"/>
        <v>Tuesday</v>
      </c>
    </row>
    <row r="581" spans="1:12" ht="14.25" customHeight="1" x14ac:dyDescent="0.45">
      <c r="A581" t="s">
        <v>764</v>
      </c>
      <c r="B581" s="2" t="s">
        <v>552</v>
      </c>
      <c r="C581" t="s">
        <v>89</v>
      </c>
      <c r="D581" t="s">
        <v>472</v>
      </c>
      <c r="E581" t="s">
        <v>497</v>
      </c>
      <c r="F581" t="s">
        <v>107</v>
      </c>
      <c r="G581">
        <v>1</v>
      </c>
      <c r="H581" s="3">
        <v>3210</v>
      </c>
      <c r="I581" s="3">
        <v>3210</v>
      </c>
      <c r="J581" t="s">
        <v>82</v>
      </c>
      <c r="K581" t="s">
        <v>83</v>
      </c>
      <c r="L581" t="str">
        <f t="shared" si="9"/>
        <v>Saturday</v>
      </c>
    </row>
    <row r="582" spans="1:12" ht="14.25" customHeight="1" x14ac:dyDescent="0.45">
      <c r="A582" t="s">
        <v>564</v>
      </c>
      <c r="B582" s="2" t="s">
        <v>258</v>
      </c>
      <c r="C582" t="s">
        <v>96</v>
      </c>
      <c r="D582" t="s">
        <v>196</v>
      </c>
      <c r="E582" t="s">
        <v>300</v>
      </c>
      <c r="F582" t="s">
        <v>131</v>
      </c>
      <c r="G582">
        <v>1</v>
      </c>
      <c r="H582" s="3">
        <v>4640</v>
      </c>
      <c r="I582" s="3">
        <v>4640</v>
      </c>
      <c r="J582" t="s">
        <v>76</v>
      </c>
      <c r="K582" t="s">
        <v>83</v>
      </c>
      <c r="L582" t="str">
        <f t="shared" si="9"/>
        <v>Friday</v>
      </c>
    </row>
    <row r="583" spans="1:12" ht="14.25" customHeight="1" x14ac:dyDescent="0.45">
      <c r="A583" t="s">
        <v>1247</v>
      </c>
      <c r="B583" s="2" t="s">
        <v>305</v>
      </c>
      <c r="C583" t="s">
        <v>72</v>
      </c>
      <c r="D583" t="s">
        <v>472</v>
      </c>
      <c r="E583" t="s">
        <v>691</v>
      </c>
      <c r="F583" t="s">
        <v>107</v>
      </c>
      <c r="G583">
        <v>1</v>
      </c>
      <c r="H583" s="3">
        <v>940</v>
      </c>
      <c r="I583" s="3">
        <v>940</v>
      </c>
      <c r="J583" t="s">
        <v>82</v>
      </c>
      <c r="K583" t="s">
        <v>77</v>
      </c>
      <c r="L583" t="str">
        <f t="shared" si="9"/>
        <v>Sunday</v>
      </c>
    </row>
    <row r="584" spans="1:12" ht="14.25" customHeight="1" x14ac:dyDescent="0.45">
      <c r="A584" t="s">
        <v>1018</v>
      </c>
      <c r="B584" s="2" t="s">
        <v>583</v>
      </c>
      <c r="C584" t="s">
        <v>89</v>
      </c>
      <c r="D584" t="s">
        <v>334</v>
      </c>
      <c r="E584" t="s">
        <v>527</v>
      </c>
      <c r="F584" t="s">
        <v>117</v>
      </c>
      <c r="G584">
        <v>1</v>
      </c>
      <c r="H584" s="3">
        <v>1950</v>
      </c>
      <c r="I584" s="3">
        <v>1950</v>
      </c>
      <c r="J584" t="s">
        <v>76</v>
      </c>
      <c r="K584" t="s">
        <v>83</v>
      </c>
      <c r="L584" t="str">
        <f t="shared" si="9"/>
        <v>Wednesday</v>
      </c>
    </row>
    <row r="585" spans="1:12" ht="14.25" customHeight="1" x14ac:dyDescent="0.45">
      <c r="A585" t="s">
        <v>744</v>
      </c>
      <c r="B585" s="2" t="s">
        <v>627</v>
      </c>
      <c r="C585" t="s">
        <v>89</v>
      </c>
      <c r="D585" t="s">
        <v>398</v>
      </c>
      <c r="E585" t="s">
        <v>399</v>
      </c>
      <c r="F585" t="s">
        <v>123</v>
      </c>
      <c r="G585">
        <v>1</v>
      </c>
      <c r="H585" s="3">
        <v>3290</v>
      </c>
      <c r="I585" s="3">
        <v>3290</v>
      </c>
      <c r="J585" t="s">
        <v>76</v>
      </c>
      <c r="K585" t="s">
        <v>77</v>
      </c>
      <c r="L585" t="str">
        <f t="shared" si="9"/>
        <v>Friday</v>
      </c>
    </row>
    <row r="586" spans="1:12" ht="14.25" customHeight="1" x14ac:dyDescent="0.45">
      <c r="A586" t="s">
        <v>698</v>
      </c>
      <c r="B586" s="2" t="s">
        <v>699</v>
      </c>
      <c r="C586" t="s">
        <v>96</v>
      </c>
      <c r="D586" t="s">
        <v>334</v>
      </c>
      <c r="E586" t="s">
        <v>335</v>
      </c>
      <c r="F586" t="s">
        <v>75</v>
      </c>
      <c r="G586">
        <v>1</v>
      </c>
      <c r="H586" s="3">
        <v>3770</v>
      </c>
      <c r="I586" s="3">
        <v>3770</v>
      </c>
      <c r="J586" t="s">
        <v>76</v>
      </c>
      <c r="K586" t="s">
        <v>83</v>
      </c>
      <c r="L586" t="str">
        <f t="shared" si="9"/>
        <v>Tuesday</v>
      </c>
    </row>
    <row r="587" spans="1:12" ht="14.25" customHeight="1" x14ac:dyDescent="0.45">
      <c r="A587" t="s">
        <v>1126</v>
      </c>
      <c r="B587" s="2" t="s">
        <v>192</v>
      </c>
      <c r="C587" t="s">
        <v>96</v>
      </c>
      <c r="D587" t="s">
        <v>472</v>
      </c>
      <c r="E587" t="s">
        <v>500</v>
      </c>
      <c r="F587" t="s">
        <v>75</v>
      </c>
      <c r="G587">
        <v>1</v>
      </c>
      <c r="H587" s="3">
        <v>1570</v>
      </c>
      <c r="I587" s="3">
        <v>1570</v>
      </c>
      <c r="J587" t="s">
        <v>82</v>
      </c>
      <c r="K587" t="s">
        <v>83</v>
      </c>
      <c r="L587" t="str">
        <f t="shared" si="9"/>
        <v>Saturday</v>
      </c>
    </row>
    <row r="588" spans="1:12" ht="14.25" customHeight="1" x14ac:dyDescent="0.45">
      <c r="A588" t="s">
        <v>1052</v>
      </c>
      <c r="B588" s="2" t="s">
        <v>227</v>
      </c>
      <c r="C588" t="s">
        <v>89</v>
      </c>
      <c r="D588" t="s">
        <v>334</v>
      </c>
      <c r="E588" t="s">
        <v>527</v>
      </c>
      <c r="F588" t="s">
        <v>90</v>
      </c>
      <c r="G588">
        <v>1</v>
      </c>
      <c r="H588" s="3">
        <v>1860</v>
      </c>
      <c r="I588" s="3">
        <v>1860</v>
      </c>
      <c r="J588" t="s">
        <v>82</v>
      </c>
      <c r="K588" t="s">
        <v>83</v>
      </c>
      <c r="L588" t="str">
        <f t="shared" si="9"/>
        <v>Sunday</v>
      </c>
    </row>
    <row r="589" spans="1:12" ht="14.25" customHeight="1" x14ac:dyDescent="0.45">
      <c r="A589" t="s">
        <v>360</v>
      </c>
      <c r="B589" s="2" t="s">
        <v>162</v>
      </c>
      <c r="C589" t="s">
        <v>96</v>
      </c>
      <c r="D589" t="s">
        <v>196</v>
      </c>
      <c r="E589" t="s">
        <v>214</v>
      </c>
      <c r="F589" t="s">
        <v>131</v>
      </c>
      <c r="G589">
        <v>1</v>
      </c>
      <c r="H589" s="3">
        <v>15070</v>
      </c>
      <c r="I589" s="3">
        <v>15070</v>
      </c>
      <c r="J589" t="s">
        <v>82</v>
      </c>
      <c r="K589" t="s">
        <v>83</v>
      </c>
      <c r="L589" t="str">
        <f t="shared" si="9"/>
        <v>Sunday</v>
      </c>
    </row>
    <row r="590" spans="1:12" ht="14.25" customHeight="1" x14ac:dyDescent="0.45">
      <c r="A590" t="s">
        <v>506</v>
      </c>
      <c r="B590" s="2" t="s">
        <v>414</v>
      </c>
      <c r="C590" t="s">
        <v>96</v>
      </c>
      <c r="D590" t="s">
        <v>398</v>
      </c>
      <c r="E590" t="s">
        <v>399</v>
      </c>
      <c r="F590" t="s">
        <v>131</v>
      </c>
      <c r="G590">
        <v>2</v>
      </c>
      <c r="H590" s="3">
        <v>3170</v>
      </c>
      <c r="I590" s="3">
        <v>6340</v>
      </c>
      <c r="J590" t="s">
        <v>82</v>
      </c>
      <c r="K590" t="s">
        <v>93</v>
      </c>
      <c r="L590" t="str">
        <f t="shared" si="9"/>
        <v>Friday</v>
      </c>
    </row>
    <row r="591" spans="1:12" ht="14.25" customHeight="1" x14ac:dyDescent="0.45">
      <c r="A591" t="s">
        <v>1253</v>
      </c>
      <c r="B591" s="2" t="s">
        <v>1086</v>
      </c>
      <c r="C591" t="s">
        <v>89</v>
      </c>
      <c r="D591" t="s">
        <v>472</v>
      </c>
      <c r="E591" t="s">
        <v>691</v>
      </c>
      <c r="F591" t="s">
        <v>86</v>
      </c>
      <c r="G591">
        <v>1</v>
      </c>
      <c r="H591" s="3">
        <v>920</v>
      </c>
      <c r="I591" s="3">
        <v>920</v>
      </c>
      <c r="J591" t="s">
        <v>82</v>
      </c>
      <c r="K591" t="s">
        <v>83</v>
      </c>
      <c r="L591" t="str">
        <f t="shared" si="9"/>
        <v>Thursday</v>
      </c>
    </row>
    <row r="592" spans="1:12" ht="14.25" customHeight="1" x14ac:dyDescent="0.45">
      <c r="A592" t="s">
        <v>754</v>
      </c>
      <c r="B592" s="2" t="s">
        <v>150</v>
      </c>
      <c r="C592" t="s">
        <v>89</v>
      </c>
      <c r="D592" t="s">
        <v>472</v>
      </c>
      <c r="E592" t="s">
        <v>500</v>
      </c>
      <c r="F592" t="s">
        <v>81</v>
      </c>
      <c r="G592">
        <v>2</v>
      </c>
      <c r="H592" s="3">
        <v>1620</v>
      </c>
      <c r="I592" s="3">
        <v>3240</v>
      </c>
      <c r="J592" t="s">
        <v>76</v>
      </c>
      <c r="K592" t="s">
        <v>77</v>
      </c>
      <c r="L592" t="str">
        <f t="shared" si="9"/>
        <v>Saturday</v>
      </c>
    </row>
    <row r="593" spans="1:12" ht="14.25" customHeight="1" x14ac:dyDescent="0.45">
      <c r="A593" t="s">
        <v>694</v>
      </c>
      <c r="B593" s="2" t="s">
        <v>695</v>
      </c>
      <c r="C593" t="s">
        <v>100</v>
      </c>
      <c r="D593" t="s">
        <v>334</v>
      </c>
      <c r="E593" t="s">
        <v>335</v>
      </c>
      <c r="F593" t="s">
        <v>97</v>
      </c>
      <c r="G593">
        <v>1</v>
      </c>
      <c r="H593" s="3">
        <v>3780</v>
      </c>
      <c r="I593" s="3">
        <v>3780</v>
      </c>
      <c r="J593" t="s">
        <v>82</v>
      </c>
      <c r="K593" t="s">
        <v>93</v>
      </c>
      <c r="L593" t="str">
        <f t="shared" si="9"/>
        <v>Tuesday</v>
      </c>
    </row>
    <row r="594" spans="1:12" ht="14.25" customHeight="1" x14ac:dyDescent="0.45">
      <c r="A594" t="s">
        <v>915</v>
      </c>
      <c r="B594" s="2" t="s">
        <v>343</v>
      </c>
      <c r="C594" t="s">
        <v>96</v>
      </c>
      <c r="D594" t="s">
        <v>472</v>
      </c>
      <c r="E594" t="s">
        <v>473</v>
      </c>
      <c r="F594" t="s">
        <v>117</v>
      </c>
      <c r="G594">
        <v>1</v>
      </c>
      <c r="H594" s="3">
        <v>2420</v>
      </c>
      <c r="I594" s="3">
        <v>2420</v>
      </c>
      <c r="J594" t="s">
        <v>76</v>
      </c>
      <c r="K594" t="s">
        <v>93</v>
      </c>
      <c r="L594" t="str">
        <f t="shared" si="9"/>
        <v>Monday</v>
      </c>
    </row>
    <row r="595" spans="1:12" ht="14.25" customHeight="1" x14ac:dyDescent="0.45">
      <c r="A595" t="s">
        <v>594</v>
      </c>
      <c r="B595" s="2" t="s">
        <v>595</v>
      </c>
      <c r="C595" t="s">
        <v>96</v>
      </c>
      <c r="D595" t="s">
        <v>196</v>
      </c>
      <c r="E595" t="s">
        <v>300</v>
      </c>
      <c r="F595" t="s">
        <v>123</v>
      </c>
      <c r="G595">
        <v>1</v>
      </c>
      <c r="H595" s="3">
        <v>4500</v>
      </c>
      <c r="I595" s="3">
        <v>4500</v>
      </c>
      <c r="J595" t="s">
        <v>82</v>
      </c>
      <c r="K595" t="s">
        <v>83</v>
      </c>
      <c r="L595" t="str">
        <f t="shared" si="9"/>
        <v>Wednesday</v>
      </c>
    </row>
    <row r="596" spans="1:12" ht="14.25" customHeight="1" x14ac:dyDescent="0.45">
      <c r="A596" t="s">
        <v>966</v>
      </c>
      <c r="B596" s="2" t="s">
        <v>715</v>
      </c>
      <c r="C596" t="s">
        <v>89</v>
      </c>
      <c r="D596" t="s">
        <v>398</v>
      </c>
      <c r="E596" t="s">
        <v>448</v>
      </c>
      <c r="F596" t="s">
        <v>131</v>
      </c>
      <c r="G596">
        <v>1</v>
      </c>
      <c r="H596" s="3">
        <v>2210</v>
      </c>
      <c r="I596" s="3">
        <v>2210</v>
      </c>
      <c r="J596" t="s">
        <v>76</v>
      </c>
      <c r="K596" t="s">
        <v>83</v>
      </c>
      <c r="L596" t="str">
        <f t="shared" si="9"/>
        <v>Saturday</v>
      </c>
    </row>
    <row r="597" spans="1:12" ht="14.25" customHeight="1" x14ac:dyDescent="0.45">
      <c r="A597" t="s">
        <v>205</v>
      </c>
      <c r="B597" s="2" t="s">
        <v>206</v>
      </c>
      <c r="C597" t="s">
        <v>100</v>
      </c>
      <c r="D597" t="s">
        <v>73</v>
      </c>
      <c r="E597" t="s">
        <v>104</v>
      </c>
      <c r="F597" t="s">
        <v>90</v>
      </c>
      <c r="G597">
        <v>1</v>
      </c>
      <c r="H597" s="3">
        <v>53950</v>
      </c>
      <c r="I597" s="3">
        <v>53950</v>
      </c>
      <c r="J597" t="s">
        <v>76</v>
      </c>
      <c r="K597" t="s">
        <v>93</v>
      </c>
      <c r="L597" t="str">
        <f t="shared" si="9"/>
        <v>Wednesday</v>
      </c>
    </row>
    <row r="598" spans="1:12" ht="14.25" customHeight="1" x14ac:dyDescent="0.45">
      <c r="A598" t="s">
        <v>733</v>
      </c>
      <c r="B598" s="2" t="s">
        <v>436</v>
      </c>
      <c r="C598" t="s">
        <v>100</v>
      </c>
      <c r="D598" t="s">
        <v>73</v>
      </c>
      <c r="E598" t="s">
        <v>443</v>
      </c>
      <c r="F598" t="s">
        <v>81</v>
      </c>
      <c r="G598">
        <v>1</v>
      </c>
      <c r="H598" s="3">
        <v>3500</v>
      </c>
      <c r="I598" s="3">
        <v>3500</v>
      </c>
      <c r="J598" t="s">
        <v>76</v>
      </c>
      <c r="K598" t="s">
        <v>93</v>
      </c>
      <c r="L598" t="str">
        <f t="shared" si="9"/>
        <v>Saturday</v>
      </c>
    </row>
    <row r="599" spans="1:12" ht="14.25" customHeight="1" x14ac:dyDescent="0.45">
      <c r="A599" t="s">
        <v>474</v>
      </c>
      <c r="B599" s="2" t="s">
        <v>171</v>
      </c>
      <c r="C599" t="s">
        <v>96</v>
      </c>
      <c r="D599" t="s">
        <v>398</v>
      </c>
      <c r="E599" t="s">
        <v>475</v>
      </c>
      <c r="F599" t="s">
        <v>131</v>
      </c>
      <c r="G599">
        <v>4</v>
      </c>
      <c r="H599" s="3">
        <v>1850</v>
      </c>
      <c r="I599" s="3">
        <v>7400</v>
      </c>
      <c r="J599" t="s">
        <v>76</v>
      </c>
      <c r="K599" t="s">
        <v>77</v>
      </c>
      <c r="L599" t="str">
        <f t="shared" si="9"/>
        <v>Thursday</v>
      </c>
    </row>
    <row r="600" spans="1:12" ht="14.25" customHeight="1" x14ac:dyDescent="0.45">
      <c r="A600" t="s">
        <v>1076</v>
      </c>
      <c r="B600" s="2" t="s">
        <v>593</v>
      </c>
      <c r="C600" t="s">
        <v>96</v>
      </c>
      <c r="D600" t="s">
        <v>398</v>
      </c>
      <c r="E600" t="s">
        <v>475</v>
      </c>
      <c r="F600" t="s">
        <v>97</v>
      </c>
      <c r="G600">
        <v>1</v>
      </c>
      <c r="H600" s="3">
        <v>1800</v>
      </c>
      <c r="I600" s="3">
        <v>1800</v>
      </c>
      <c r="J600" t="s">
        <v>76</v>
      </c>
      <c r="K600" t="s">
        <v>77</v>
      </c>
      <c r="L600" t="str">
        <f t="shared" si="9"/>
        <v>Saturday</v>
      </c>
    </row>
    <row r="601" spans="1:12" ht="14.25" customHeight="1" x14ac:dyDescent="0.45">
      <c r="A601" t="s">
        <v>284</v>
      </c>
      <c r="B601" s="2" t="s">
        <v>137</v>
      </c>
      <c r="C601" t="s">
        <v>100</v>
      </c>
      <c r="D601" t="s">
        <v>196</v>
      </c>
      <c r="E601" t="s">
        <v>246</v>
      </c>
      <c r="F601" t="s">
        <v>140</v>
      </c>
      <c r="G601">
        <v>2</v>
      </c>
      <c r="H601" s="3">
        <v>13090</v>
      </c>
      <c r="I601" s="3">
        <v>26180</v>
      </c>
      <c r="J601" t="s">
        <v>76</v>
      </c>
      <c r="K601" t="s">
        <v>93</v>
      </c>
      <c r="L601" t="str">
        <f t="shared" si="9"/>
        <v>Monday</v>
      </c>
    </row>
    <row r="602" spans="1:12" ht="14.25" customHeight="1" x14ac:dyDescent="0.45">
      <c r="A602" t="s">
        <v>925</v>
      </c>
      <c r="B602" s="2" t="s">
        <v>122</v>
      </c>
      <c r="C602" t="s">
        <v>100</v>
      </c>
      <c r="D602" t="s">
        <v>472</v>
      </c>
      <c r="E602" t="s">
        <v>557</v>
      </c>
      <c r="F602" t="s">
        <v>81</v>
      </c>
      <c r="G602">
        <v>2</v>
      </c>
      <c r="H602" s="3">
        <v>1200</v>
      </c>
      <c r="I602" s="3">
        <v>2400</v>
      </c>
      <c r="J602" t="s">
        <v>82</v>
      </c>
      <c r="K602" t="s">
        <v>83</v>
      </c>
      <c r="L602" t="str">
        <f t="shared" si="9"/>
        <v>Friday</v>
      </c>
    </row>
    <row r="603" spans="1:12" ht="14.25" customHeight="1" x14ac:dyDescent="0.45">
      <c r="A603" t="s">
        <v>1236</v>
      </c>
      <c r="B603" s="2" t="s">
        <v>175</v>
      </c>
      <c r="C603" t="s">
        <v>96</v>
      </c>
      <c r="D603" t="s">
        <v>472</v>
      </c>
      <c r="E603" t="s">
        <v>691</v>
      </c>
      <c r="F603" t="s">
        <v>107</v>
      </c>
      <c r="G603">
        <v>1</v>
      </c>
      <c r="H603" s="3">
        <v>970</v>
      </c>
      <c r="I603" s="3">
        <v>970</v>
      </c>
      <c r="J603" t="s">
        <v>82</v>
      </c>
      <c r="K603" t="s">
        <v>83</v>
      </c>
      <c r="L603" t="str">
        <f t="shared" si="9"/>
        <v>Saturday</v>
      </c>
    </row>
    <row r="604" spans="1:12" ht="14.25" customHeight="1" x14ac:dyDescent="0.45">
      <c r="A604" t="s">
        <v>709</v>
      </c>
      <c r="B604" s="2" t="s">
        <v>221</v>
      </c>
      <c r="C604" t="s">
        <v>100</v>
      </c>
      <c r="D604" t="s">
        <v>472</v>
      </c>
      <c r="E604" t="s">
        <v>691</v>
      </c>
      <c r="F604" t="s">
        <v>140</v>
      </c>
      <c r="G604">
        <v>4</v>
      </c>
      <c r="H604" s="3">
        <v>930</v>
      </c>
      <c r="I604" s="3">
        <v>3720</v>
      </c>
      <c r="J604" t="s">
        <v>76</v>
      </c>
      <c r="K604" t="s">
        <v>83</v>
      </c>
      <c r="L604" t="str">
        <f t="shared" si="9"/>
        <v>Saturday</v>
      </c>
    </row>
    <row r="605" spans="1:12" ht="14.25" customHeight="1" x14ac:dyDescent="0.45">
      <c r="A605" t="s">
        <v>1015</v>
      </c>
      <c r="B605" s="2" t="s">
        <v>229</v>
      </c>
      <c r="C605" t="s">
        <v>100</v>
      </c>
      <c r="D605" t="s">
        <v>334</v>
      </c>
      <c r="E605" t="s">
        <v>527</v>
      </c>
      <c r="F605" t="s">
        <v>81</v>
      </c>
      <c r="G605">
        <v>1</v>
      </c>
      <c r="H605" s="3">
        <v>1960</v>
      </c>
      <c r="I605" s="3">
        <v>1960</v>
      </c>
      <c r="J605" t="s">
        <v>76</v>
      </c>
      <c r="K605" t="s">
        <v>83</v>
      </c>
      <c r="L605" t="str">
        <f t="shared" si="9"/>
        <v>Tuesday</v>
      </c>
    </row>
    <row r="606" spans="1:12" ht="14.25" customHeight="1" x14ac:dyDescent="0.45">
      <c r="A606" t="s">
        <v>979</v>
      </c>
      <c r="B606" s="2" t="s">
        <v>318</v>
      </c>
      <c r="C606" t="s">
        <v>100</v>
      </c>
      <c r="D606" t="s">
        <v>398</v>
      </c>
      <c r="E606" t="s">
        <v>448</v>
      </c>
      <c r="F606" t="s">
        <v>117</v>
      </c>
      <c r="G606">
        <v>1</v>
      </c>
      <c r="H606" s="3">
        <v>2170</v>
      </c>
      <c r="I606" s="3">
        <v>2170</v>
      </c>
      <c r="J606" t="s">
        <v>76</v>
      </c>
      <c r="K606" t="s">
        <v>83</v>
      </c>
      <c r="L606" t="str">
        <f t="shared" si="9"/>
        <v>Monday</v>
      </c>
    </row>
    <row r="607" spans="1:12" ht="14.25" customHeight="1" x14ac:dyDescent="0.45">
      <c r="A607" t="s">
        <v>265</v>
      </c>
      <c r="B607" s="2" t="s">
        <v>183</v>
      </c>
      <c r="C607" t="s">
        <v>80</v>
      </c>
      <c r="D607" t="s">
        <v>196</v>
      </c>
      <c r="E607" t="s">
        <v>214</v>
      </c>
      <c r="F607" t="s">
        <v>75</v>
      </c>
      <c r="G607">
        <v>2</v>
      </c>
      <c r="H607" s="3">
        <v>15310</v>
      </c>
      <c r="I607" s="3">
        <v>30620</v>
      </c>
      <c r="J607" t="s">
        <v>76</v>
      </c>
      <c r="K607" t="s">
        <v>93</v>
      </c>
      <c r="L607" t="str">
        <f t="shared" si="9"/>
        <v>Sunday</v>
      </c>
    </row>
    <row r="608" spans="1:12" ht="14.25" customHeight="1" x14ac:dyDescent="0.45">
      <c r="A608" t="s">
        <v>1056</v>
      </c>
      <c r="B608" s="2" t="s">
        <v>445</v>
      </c>
      <c r="C608" t="s">
        <v>96</v>
      </c>
      <c r="D608" t="s">
        <v>398</v>
      </c>
      <c r="E608" t="s">
        <v>475</v>
      </c>
      <c r="F608" t="s">
        <v>97</v>
      </c>
      <c r="G608">
        <v>1</v>
      </c>
      <c r="H608" s="3">
        <v>1850</v>
      </c>
      <c r="I608" s="3">
        <v>1850</v>
      </c>
      <c r="J608" t="s">
        <v>76</v>
      </c>
      <c r="K608" t="s">
        <v>83</v>
      </c>
      <c r="L608" t="str">
        <f t="shared" si="9"/>
        <v>Tuesday</v>
      </c>
    </row>
    <row r="609" spans="1:12" ht="14.25" customHeight="1" x14ac:dyDescent="0.45">
      <c r="A609" t="s">
        <v>846</v>
      </c>
      <c r="B609" s="2" t="s">
        <v>99</v>
      </c>
      <c r="C609" t="s">
        <v>100</v>
      </c>
      <c r="D609" t="s">
        <v>73</v>
      </c>
      <c r="E609" t="s">
        <v>441</v>
      </c>
      <c r="F609" t="s">
        <v>123</v>
      </c>
      <c r="G609">
        <v>1</v>
      </c>
      <c r="H609" s="3">
        <v>2850</v>
      </c>
      <c r="I609" s="3">
        <v>2850</v>
      </c>
      <c r="J609" t="s">
        <v>76</v>
      </c>
      <c r="K609" t="s">
        <v>93</v>
      </c>
      <c r="L609" t="str">
        <f t="shared" si="9"/>
        <v>Saturday</v>
      </c>
    </row>
    <row r="610" spans="1:12" ht="14.25" customHeight="1" x14ac:dyDescent="0.45">
      <c r="A610" t="s">
        <v>525</v>
      </c>
      <c r="B610" s="2" t="s">
        <v>526</v>
      </c>
      <c r="C610" t="s">
        <v>100</v>
      </c>
      <c r="D610" t="s">
        <v>334</v>
      </c>
      <c r="E610" t="s">
        <v>527</v>
      </c>
      <c r="F610" t="s">
        <v>97</v>
      </c>
      <c r="G610">
        <v>3</v>
      </c>
      <c r="H610" s="3">
        <v>1900</v>
      </c>
      <c r="I610" s="3">
        <v>5700</v>
      </c>
      <c r="J610" t="s">
        <v>76</v>
      </c>
      <c r="K610" t="s">
        <v>93</v>
      </c>
      <c r="L610" t="str">
        <f t="shared" si="9"/>
        <v>Sunday</v>
      </c>
    </row>
    <row r="611" spans="1:12" ht="14.25" customHeight="1" x14ac:dyDescent="0.45">
      <c r="A611" t="s">
        <v>663</v>
      </c>
      <c r="B611" s="2" t="s">
        <v>526</v>
      </c>
      <c r="C611" t="s">
        <v>89</v>
      </c>
      <c r="D611" t="s">
        <v>334</v>
      </c>
      <c r="E611" t="s">
        <v>402</v>
      </c>
      <c r="F611" t="s">
        <v>107</v>
      </c>
      <c r="G611">
        <v>1</v>
      </c>
      <c r="H611" s="3">
        <v>4130</v>
      </c>
      <c r="I611" s="3">
        <v>4130</v>
      </c>
      <c r="J611" t="s">
        <v>76</v>
      </c>
      <c r="K611" t="s">
        <v>83</v>
      </c>
      <c r="L611" t="str">
        <f t="shared" si="9"/>
        <v>Sunday</v>
      </c>
    </row>
    <row r="612" spans="1:12" ht="14.25" customHeight="1" x14ac:dyDescent="0.45">
      <c r="A612" t="s">
        <v>644</v>
      </c>
      <c r="B612" s="2" t="s">
        <v>309</v>
      </c>
      <c r="C612" t="s">
        <v>89</v>
      </c>
      <c r="D612" t="s">
        <v>398</v>
      </c>
      <c r="E612" t="s">
        <v>462</v>
      </c>
      <c r="F612" t="s">
        <v>86</v>
      </c>
      <c r="G612">
        <v>2</v>
      </c>
      <c r="H612" s="3">
        <v>2110</v>
      </c>
      <c r="I612" s="3">
        <v>4220</v>
      </c>
      <c r="J612" t="s">
        <v>76</v>
      </c>
      <c r="K612" t="s">
        <v>83</v>
      </c>
      <c r="L612" t="str">
        <f t="shared" si="9"/>
        <v>Sunday</v>
      </c>
    </row>
    <row r="613" spans="1:12" ht="14.25" customHeight="1" x14ac:dyDescent="0.45">
      <c r="A613" t="s">
        <v>939</v>
      </c>
      <c r="B613" s="2" t="s">
        <v>436</v>
      </c>
      <c r="C613" t="s">
        <v>72</v>
      </c>
      <c r="D613" t="s">
        <v>472</v>
      </c>
      <c r="E613" t="s">
        <v>473</v>
      </c>
      <c r="F613" t="s">
        <v>75</v>
      </c>
      <c r="G613">
        <v>1</v>
      </c>
      <c r="H613" s="3">
        <v>2320</v>
      </c>
      <c r="I613" s="3">
        <v>2320</v>
      </c>
      <c r="J613" t="s">
        <v>76</v>
      </c>
      <c r="K613" t="s">
        <v>83</v>
      </c>
      <c r="L613" t="str">
        <f t="shared" si="9"/>
        <v>Saturday</v>
      </c>
    </row>
    <row r="614" spans="1:12" ht="14.25" customHeight="1" x14ac:dyDescent="0.45">
      <c r="A614" t="s">
        <v>1181</v>
      </c>
      <c r="B614" s="2" t="s">
        <v>314</v>
      </c>
      <c r="C614" t="s">
        <v>89</v>
      </c>
      <c r="D614" t="s">
        <v>472</v>
      </c>
      <c r="E614" t="s">
        <v>557</v>
      </c>
      <c r="F614" t="s">
        <v>117</v>
      </c>
      <c r="G614">
        <v>1</v>
      </c>
      <c r="H614" s="3">
        <v>1230</v>
      </c>
      <c r="I614" s="3">
        <v>1230</v>
      </c>
      <c r="J614" t="s">
        <v>82</v>
      </c>
      <c r="K614" t="s">
        <v>77</v>
      </c>
      <c r="L614" t="str">
        <f t="shared" si="9"/>
        <v>Monday</v>
      </c>
    </row>
    <row r="615" spans="1:12" ht="14.25" customHeight="1" x14ac:dyDescent="0.45">
      <c r="A615" t="s">
        <v>1136</v>
      </c>
      <c r="B615" s="2" t="s">
        <v>208</v>
      </c>
      <c r="C615" t="s">
        <v>96</v>
      </c>
      <c r="D615" t="s">
        <v>472</v>
      </c>
      <c r="E615" t="s">
        <v>500</v>
      </c>
      <c r="F615" t="s">
        <v>81</v>
      </c>
      <c r="G615">
        <v>1</v>
      </c>
      <c r="H615" s="3">
        <v>1550</v>
      </c>
      <c r="I615" s="3">
        <v>1550</v>
      </c>
      <c r="J615" t="s">
        <v>76</v>
      </c>
      <c r="K615" t="s">
        <v>83</v>
      </c>
      <c r="L615" t="str">
        <f t="shared" si="9"/>
        <v>Wednesday</v>
      </c>
    </row>
    <row r="616" spans="1:12" ht="14.25" customHeight="1" x14ac:dyDescent="0.45">
      <c r="A616" t="s">
        <v>1207</v>
      </c>
      <c r="B616" s="2" t="s">
        <v>593</v>
      </c>
      <c r="C616" t="s">
        <v>80</v>
      </c>
      <c r="D616" t="s">
        <v>472</v>
      </c>
      <c r="E616" t="s">
        <v>557</v>
      </c>
      <c r="F616" t="s">
        <v>107</v>
      </c>
      <c r="G616">
        <v>1</v>
      </c>
      <c r="H616" s="3">
        <v>1190</v>
      </c>
      <c r="I616" s="3">
        <v>1190</v>
      </c>
      <c r="J616" t="s">
        <v>76</v>
      </c>
      <c r="K616" t="s">
        <v>93</v>
      </c>
      <c r="L616" t="str">
        <f t="shared" si="9"/>
        <v>Saturday</v>
      </c>
    </row>
    <row r="617" spans="1:12" ht="14.25" customHeight="1" x14ac:dyDescent="0.45">
      <c r="A617" t="s">
        <v>882</v>
      </c>
      <c r="B617" s="2" t="s">
        <v>381</v>
      </c>
      <c r="C617" t="s">
        <v>96</v>
      </c>
      <c r="D617" t="s">
        <v>398</v>
      </c>
      <c r="E617" t="s">
        <v>464</v>
      </c>
      <c r="F617" t="s">
        <v>131</v>
      </c>
      <c r="G617">
        <v>1</v>
      </c>
      <c r="H617" s="3">
        <v>2580</v>
      </c>
      <c r="I617" s="3">
        <v>2580</v>
      </c>
      <c r="J617" t="s">
        <v>76</v>
      </c>
      <c r="K617" t="s">
        <v>83</v>
      </c>
      <c r="L617" t="str">
        <f t="shared" si="9"/>
        <v>Sunday</v>
      </c>
    </row>
    <row r="618" spans="1:12" ht="14.25" customHeight="1" x14ac:dyDescent="0.45">
      <c r="A618" t="s">
        <v>419</v>
      </c>
      <c r="B618" s="2" t="s">
        <v>269</v>
      </c>
      <c r="C618" t="s">
        <v>72</v>
      </c>
      <c r="D618" t="s">
        <v>73</v>
      </c>
      <c r="E618" t="s">
        <v>211</v>
      </c>
      <c r="F618" t="s">
        <v>123</v>
      </c>
      <c r="G618">
        <v>1</v>
      </c>
      <c r="H618" s="3">
        <v>12010</v>
      </c>
      <c r="I618" s="3">
        <v>12010</v>
      </c>
      <c r="J618" t="s">
        <v>82</v>
      </c>
      <c r="K618" t="s">
        <v>83</v>
      </c>
      <c r="L618" t="str">
        <f t="shared" si="9"/>
        <v>Sunday</v>
      </c>
    </row>
    <row r="619" spans="1:12" ht="14.25" customHeight="1" x14ac:dyDescent="0.45">
      <c r="A619" t="s">
        <v>713</v>
      </c>
      <c r="B619" s="2" t="s">
        <v>249</v>
      </c>
      <c r="C619" t="s">
        <v>96</v>
      </c>
      <c r="D619" t="s">
        <v>334</v>
      </c>
      <c r="E619" t="s">
        <v>335</v>
      </c>
      <c r="F619" t="s">
        <v>131</v>
      </c>
      <c r="G619">
        <v>1</v>
      </c>
      <c r="H619" s="3">
        <v>3670</v>
      </c>
      <c r="I619" s="3">
        <v>3670</v>
      </c>
      <c r="J619" t="s">
        <v>82</v>
      </c>
      <c r="K619" t="s">
        <v>77</v>
      </c>
      <c r="L619" t="str">
        <f t="shared" si="9"/>
        <v>Thursday</v>
      </c>
    </row>
    <row r="620" spans="1:12" ht="14.25" customHeight="1" x14ac:dyDescent="0.45">
      <c r="A620" t="s">
        <v>568</v>
      </c>
      <c r="B620" s="2" t="s">
        <v>569</v>
      </c>
      <c r="C620" t="s">
        <v>100</v>
      </c>
      <c r="D620" t="s">
        <v>196</v>
      </c>
      <c r="E620" t="s">
        <v>300</v>
      </c>
      <c r="F620" t="s">
        <v>140</v>
      </c>
      <c r="G620">
        <v>1</v>
      </c>
      <c r="H620" s="3">
        <v>4620</v>
      </c>
      <c r="I620" s="3">
        <v>4620</v>
      </c>
      <c r="J620" t="s">
        <v>76</v>
      </c>
      <c r="K620" t="s">
        <v>83</v>
      </c>
      <c r="L620" t="str">
        <f t="shared" si="9"/>
        <v>Tuesday</v>
      </c>
    </row>
    <row r="621" spans="1:12" ht="14.25" customHeight="1" x14ac:dyDescent="0.45">
      <c r="A621" t="s">
        <v>313</v>
      </c>
      <c r="B621" s="2" t="s">
        <v>314</v>
      </c>
      <c r="C621" t="s">
        <v>100</v>
      </c>
      <c r="D621" t="s">
        <v>196</v>
      </c>
      <c r="E621" t="s">
        <v>197</v>
      </c>
      <c r="F621" t="s">
        <v>107</v>
      </c>
      <c r="G621">
        <v>1</v>
      </c>
      <c r="H621" s="3">
        <v>18270</v>
      </c>
      <c r="I621" s="3">
        <v>18270</v>
      </c>
      <c r="J621" t="s">
        <v>76</v>
      </c>
      <c r="K621" t="s">
        <v>83</v>
      </c>
      <c r="L621" t="str">
        <f t="shared" si="9"/>
        <v>Monday</v>
      </c>
    </row>
    <row r="622" spans="1:12" ht="14.25" customHeight="1" x14ac:dyDescent="0.45">
      <c r="A622" t="s">
        <v>1083</v>
      </c>
      <c r="B622" s="2" t="s">
        <v>264</v>
      </c>
      <c r="C622" t="s">
        <v>96</v>
      </c>
      <c r="D622" t="s">
        <v>398</v>
      </c>
      <c r="E622" t="s">
        <v>475</v>
      </c>
      <c r="F622" t="s">
        <v>123</v>
      </c>
      <c r="G622">
        <v>1</v>
      </c>
      <c r="H622" s="3">
        <v>1780</v>
      </c>
      <c r="I622" s="3">
        <v>1780</v>
      </c>
      <c r="J622" t="s">
        <v>82</v>
      </c>
      <c r="K622" t="s">
        <v>83</v>
      </c>
      <c r="L622" t="str">
        <f t="shared" si="9"/>
        <v>Monday</v>
      </c>
    </row>
    <row r="623" spans="1:12" ht="14.25" customHeight="1" x14ac:dyDescent="0.45">
      <c r="A623" t="s">
        <v>980</v>
      </c>
      <c r="B623" s="2" t="s">
        <v>591</v>
      </c>
      <c r="C623" t="s">
        <v>100</v>
      </c>
      <c r="D623" t="s">
        <v>398</v>
      </c>
      <c r="E623" t="s">
        <v>448</v>
      </c>
      <c r="F623" t="s">
        <v>140</v>
      </c>
      <c r="G623">
        <v>1</v>
      </c>
      <c r="H623" s="3">
        <v>2170</v>
      </c>
      <c r="I623" s="3">
        <v>2170</v>
      </c>
      <c r="J623" t="s">
        <v>76</v>
      </c>
      <c r="K623" t="s">
        <v>83</v>
      </c>
      <c r="L623" t="str">
        <f t="shared" si="9"/>
        <v>Tuesday</v>
      </c>
    </row>
    <row r="624" spans="1:12" ht="14.25" customHeight="1" x14ac:dyDescent="0.45">
      <c r="A624" t="s">
        <v>482</v>
      </c>
      <c r="B624" s="2" t="s">
        <v>374</v>
      </c>
      <c r="C624" t="s">
        <v>80</v>
      </c>
      <c r="D624" t="s">
        <v>73</v>
      </c>
      <c r="E624" t="s">
        <v>443</v>
      </c>
      <c r="F624" t="s">
        <v>90</v>
      </c>
      <c r="G624">
        <v>2</v>
      </c>
      <c r="H624" s="3">
        <v>3520</v>
      </c>
      <c r="I624" s="3">
        <v>7040</v>
      </c>
      <c r="J624" t="s">
        <v>76</v>
      </c>
      <c r="K624" t="s">
        <v>83</v>
      </c>
      <c r="L624" t="str">
        <f t="shared" si="9"/>
        <v>Wednesday</v>
      </c>
    </row>
    <row r="625" spans="1:12" ht="14.25" customHeight="1" x14ac:dyDescent="0.45">
      <c r="A625" t="s">
        <v>331</v>
      </c>
      <c r="B625" s="2" t="s">
        <v>332</v>
      </c>
      <c r="C625" t="s">
        <v>72</v>
      </c>
      <c r="D625" t="s">
        <v>196</v>
      </c>
      <c r="E625" t="s">
        <v>214</v>
      </c>
      <c r="F625" t="s">
        <v>140</v>
      </c>
      <c r="G625">
        <v>1</v>
      </c>
      <c r="H625" s="3">
        <v>15750</v>
      </c>
      <c r="I625" s="3">
        <v>15750</v>
      </c>
      <c r="J625" t="s">
        <v>82</v>
      </c>
      <c r="K625" t="s">
        <v>83</v>
      </c>
      <c r="L625" t="str">
        <f t="shared" si="9"/>
        <v>Thursday</v>
      </c>
    </row>
    <row r="626" spans="1:12" ht="14.25" customHeight="1" x14ac:dyDescent="0.45">
      <c r="A626" t="s">
        <v>461</v>
      </c>
      <c r="B626" s="2" t="s">
        <v>234</v>
      </c>
      <c r="C626" t="s">
        <v>96</v>
      </c>
      <c r="D626" t="s">
        <v>398</v>
      </c>
      <c r="E626" t="s">
        <v>462</v>
      </c>
      <c r="F626" t="s">
        <v>140</v>
      </c>
      <c r="G626">
        <v>4</v>
      </c>
      <c r="H626" s="3">
        <v>2030</v>
      </c>
      <c r="I626" s="3">
        <v>8120</v>
      </c>
      <c r="J626" t="s">
        <v>76</v>
      </c>
      <c r="K626" t="s">
        <v>83</v>
      </c>
      <c r="L626" t="str">
        <f t="shared" si="9"/>
        <v>Monday</v>
      </c>
    </row>
    <row r="627" spans="1:12" ht="14.25" customHeight="1" x14ac:dyDescent="0.45">
      <c r="A627" t="s">
        <v>1219</v>
      </c>
      <c r="B627" s="2" t="s">
        <v>369</v>
      </c>
      <c r="C627" t="s">
        <v>89</v>
      </c>
      <c r="D627" t="s">
        <v>472</v>
      </c>
      <c r="E627" t="s">
        <v>557</v>
      </c>
      <c r="F627" t="s">
        <v>107</v>
      </c>
      <c r="G627">
        <v>1</v>
      </c>
      <c r="H627" s="3">
        <v>1160</v>
      </c>
      <c r="I627" s="3">
        <v>1160</v>
      </c>
      <c r="J627" t="s">
        <v>76</v>
      </c>
      <c r="K627" t="s">
        <v>77</v>
      </c>
      <c r="L627" t="str">
        <f t="shared" si="9"/>
        <v>Monday</v>
      </c>
    </row>
    <row r="628" spans="1:12" ht="14.25" customHeight="1" x14ac:dyDescent="0.45">
      <c r="A628" t="s">
        <v>972</v>
      </c>
      <c r="B628" s="2" t="s">
        <v>869</v>
      </c>
      <c r="C628" t="s">
        <v>100</v>
      </c>
      <c r="D628" t="s">
        <v>398</v>
      </c>
      <c r="E628" t="s">
        <v>448</v>
      </c>
      <c r="F628" t="s">
        <v>75</v>
      </c>
      <c r="G628">
        <v>1</v>
      </c>
      <c r="H628" s="3">
        <v>2180</v>
      </c>
      <c r="I628" s="3">
        <v>2180</v>
      </c>
      <c r="J628" t="s">
        <v>76</v>
      </c>
      <c r="K628" t="s">
        <v>83</v>
      </c>
      <c r="L628" t="str">
        <f t="shared" si="9"/>
        <v>Monday</v>
      </c>
    </row>
    <row r="629" spans="1:12" ht="14.25" customHeight="1" x14ac:dyDescent="0.45">
      <c r="A629" t="s">
        <v>780</v>
      </c>
      <c r="B629" s="2" t="s">
        <v>200</v>
      </c>
      <c r="C629" t="s">
        <v>72</v>
      </c>
      <c r="D629" t="s">
        <v>472</v>
      </c>
      <c r="E629" t="s">
        <v>497</v>
      </c>
      <c r="F629" t="s">
        <v>107</v>
      </c>
      <c r="G629">
        <v>1</v>
      </c>
      <c r="H629" s="3">
        <v>3170</v>
      </c>
      <c r="I629" s="3">
        <v>3170</v>
      </c>
      <c r="J629" t="s">
        <v>76</v>
      </c>
      <c r="K629" t="s">
        <v>77</v>
      </c>
      <c r="L629" t="str">
        <f t="shared" si="9"/>
        <v>Thursday</v>
      </c>
    </row>
    <row r="630" spans="1:12" ht="14.25" customHeight="1" x14ac:dyDescent="0.45">
      <c r="A630" t="s">
        <v>745</v>
      </c>
      <c r="B630" s="2" t="s">
        <v>173</v>
      </c>
      <c r="C630" t="s">
        <v>96</v>
      </c>
      <c r="D630" t="s">
        <v>398</v>
      </c>
      <c r="E630" t="s">
        <v>399</v>
      </c>
      <c r="F630" t="s">
        <v>117</v>
      </c>
      <c r="G630">
        <v>1</v>
      </c>
      <c r="H630" s="3">
        <v>3290</v>
      </c>
      <c r="I630" s="3">
        <v>3290</v>
      </c>
      <c r="J630" t="s">
        <v>76</v>
      </c>
      <c r="K630" t="s">
        <v>93</v>
      </c>
      <c r="L630" t="str">
        <f t="shared" si="9"/>
        <v>Tuesday</v>
      </c>
    </row>
    <row r="631" spans="1:12" ht="14.25" customHeight="1" x14ac:dyDescent="0.45">
      <c r="A631" t="s">
        <v>273</v>
      </c>
      <c r="B631" s="2" t="s">
        <v>95</v>
      </c>
      <c r="C631" t="s">
        <v>96</v>
      </c>
      <c r="D631" t="s">
        <v>196</v>
      </c>
      <c r="E631" t="s">
        <v>246</v>
      </c>
      <c r="F631" t="s">
        <v>97</v>
      </c>
      <c r="G631">
        <v>2</v>
      </c>
      <c r="H631" s="3">
        <v>13820</v>
      </c>
      <c r="I631" s="3">
        <v>27640</v>
      </c>
      <c r="J631" t="s">
        <v>82</v>
      </c>
      <c r="K631" t="s">
        <v>93</v>
      </c>
      <c r="L631" t="str">
        <f t="shared" si="9"/>
        <v>Tuesday</v>
      </c>
    </row>
    <row r="632" spans="1:12" ht="14.25" customHeight="1" x14ac:dyDescent="0.45">
      <c r="A632" t="s">
        <v>410</v>
      </c>
      <c r="B632" s="2" t="s">
        <v>79</v>
      </c>
      <c r="C632" t="s">
        <v>96</v>
      </c>
      <c r="D632" t="s">
        <v>73</v>
      </c>
      <c r="E632" t="s">
        <v>211</v>
      </c>
      <c r="F632" t="s">
        <v>107</v>
      </c>
      <c r="G632">
        <v>1</v>
      </c>
      <c r="H632" s="3">
        <v>12130</v>
      </c>
      <c r="I632" s="3">
        <v>12130</v>
      </c>
      <c r="J632" t="s">
        <v>76</v>
      </c>
      <c r="K632" t="s">
        <v>77</v>
      </c>
      <c r="L632" t="str">
        <f t="shared" si="9"/>
        <v>Thursday</v>
      </c>
    </row>
    <row r="633" spans="1:12" ht="14.25" customHeight="1" x14ac:dyDescent="0.45">
      <c r="A633" t="s">
        <v>614</v>
      </c>
      <c r="B633" s="2" t="s">
        <v>414</v>
      </c>
      <c r="C633" t="s">
        <v>96</v>
      </c>
      <c r="D633" t="s">
        <v>398</v>
      </c>
      <c r="E633" t="s">
        <v>448</v>
      </c>
      <c r="F633" t="s">
        <v>97</v>
      </c>
      <c r="G633">
        <v>2</v>
      </c>
      <c r="H633" s="3">
        <v>2180</v>
      </c>
      <c r="I633" s="3">
        <v>4360</v>
      </c>
      <c r="J633" t="s">
        <v>76</v>
      </c>
      <c r="K633" t="s">
        <v>77</v>
      </c>
      <c r="L633" t="str">
        <f t="shared" si="9"/>
        <v>Friday</v>
      </c>
    </row>
    <row r="634" spans="1:12" ht="14.25" customHeight="1" x14ac:dyDescent="0.45">
      <c r="A634" t="s">
        <v>647</v>
      </c>
      <c r="B634" s="2" t="s">
        <v>648</v>
      </c>
      <c r="C634" t="s">
        <v>89</v>
      </c>
      <c r="D634" t="s">
        <v>334</v>
      </c>
      <c r="E634" t="s">
        <v>402</v>
      </c>
      <c r="F634" t="s">
        <v>75</v>
      </c>
      <c r="G634">
        <v>1</v>
      </c>
      <c r="H634" s="3">
        <v>4210</v>
      </c>
      <c r="I634" s="3">
        <v>4210</v>
      </c>
      <c r="J634" t="s">
        <v>82</v>
      </c>
      <c r="K634" t="s">
        <v>77</v>
      </c>
      <c r="L634" t="str">
        <f t="shared" si="9"/>
        <v>Monday</v>
      </c>
    </row>
    <row r="635" spans="1:12" ht="14.25" customHeight="1" x14ac:dyDescent="0.45">
      <c r="A635" t="s">
        <v>1161</v>
      </c>
      <c r="B635" s="2" t="s">
        <v>453</v>
      </c>
      <c r="C635" t="s">
        <v>100</v>
      </c>
      <c r="D635" t="s">
        <v>334</v>
      </c>
      <c r="E635" t="s">
        <v>515</v>
      </c>
      <c r="F635" t="s">
        <v>75</v>
      </c>
      <c r="G635">
        <v>1</v>
      </c>
      <c r="H635" s="3">
        <v>1460</v>
      </c>
      <c r="I635" s="3">
        <v>1460</v>
      </c>
      <c r="J635" t="s">
        <v>76</v>
      </c>
      <c r="K635" t="s">
        <v>83</v>
      </c>
      <c r="L635" t="str">
        <f t="shared" si="9"/>
        <v>Tuesday</v>
      </c>
    </row>
    <row r="636" spans="1:12" ht="14.25" customHeight="1" x14ac:dyDescent="0.45">
      <c r="A636" t="s">
        <v>1006</v>
      </c>
      <c r="B636" s="2" t="s">
        <v>552</v>
      </c>
      <c r="C636" t="s">
        <v>89</v>
      </c>
      <c r="D636" t="s">
        <v>398</v>
      </c>
      <c r="E636" t="s">
        <v>462</v>
      </c>
      <c r="F636" t="s">
        <v>123</v>
      </c>
      <c r="G636">
        <v>1</v>
      </c>
      <c r="H636" s="3">
        <v>2040</v>
      </c>
      <c r="I636" s="3">
        <v>2040</v>
      </c>
      <c r="J636" t="s">
        <v>76</v>
      </c>
      <c r="K636" t="s">
        <v>83</v>
      </c>
      <c r="L636" t="str">
        <f t="shared" si="9"/>
        <v>Saturday</v>
      </c>
    </row>
    <row r="637" spans="1:12" ht="14.25" customHeight="1" x14ac:dyDescent="0.45">
      <c r="A637" t="s">
        <v>1250</v>
      </c>
      <c r="B637" s="2" t="s">
        <v>950</v>
      </c>
      <c r="C637" t="s">
        <v>72</v>
      </c>
      <c r="D637" t="s">
        <v>472</v>
      </c>
      <c r="E637" t="s">
        <v>691</v>
      </c>
      <c r="F637" t="s">
        <v>117</v>
      </c>
      <c r="G637">
        <v>1</v>
      </c>
      <c r="H637" s="3">
        <v>930</v>
      </c>
      <c r="I637" s="3">
        <v>930</v>
      </c>
      <c r="J637" t="s">
        <v>76</v>
      </c>
      <c r="K637" t="s">
        <v>77</v>
      </c>
      <c r="L637" t="str">
        <f t="shared" si="9"/>
        <v>Saturday</v>
      </c>
    </row>
    <row r="638" spans="1:12" ht="14.25" customHeight="1" x14ac:dyDescent="0.45">
      <c r="A638" t="s">
        <v>1194</v>
      </c>
      <c r="B638" s="2" t="s">
        <v>617</v>
      </c>
      <c r="C638" t="s">
        <v>89</v>
      </c>
      <c r="D638" t="s">
        <v>472</v>
      </c>
      <c r="E638" t="s">
        <v>557</v>
      </c>
      <c r="F638" t="s">
        <v>90</v>
      </c>
      <c r="G638">
        <v>1</v>
      </c>
      <c r="H638" s="3">
        <v>1210</v>
      </c>
      <c r="I638" s="3">
        <v>1210</v>
      </c>
      <c r="J638" t="s">
        <v>82</v>
      </c>
      <c r="K638" t="s">
        <v>77</v>
      </c>
      <c r="L638" t="str">
        <f t="shared" si="9"/>
        <v>Thursday</v>
      </c>
    </row>
    <row r="639" spans="1:12" ht="14.25" customHeight="1" x14ac:dyDescent="0.45">
      <c r="A639" t="s">
        <v>871</v>
      </c>
      <c r="B639" s="2" t="s">
        <v>350</v>
      </c>
      <c r="C639" t="s">
        <v>100</v>
      </c>
      <c r="D639" t="s">
        <v>398</v>
      </c>
      <c r="E639" t="s">
        <v>464</v>
      </c>
      <c r="F639" t="s">
        <v>131</v>
      </c>
      <c r="G639">
        <v>1</v>
      </c>
      <c r="H639" s="3">
        <v>2640</v>
      </c>
      <c r="I639" s="3">
        <v>2640</v>
      </c>
      <c r="J639" t="s">
        <v>76</v>
      </c>
      <c r="K639" t="s">
        <v>83</v>
      </c>
      <c r="L639" t="str">
        <f t="shared" si="9"/>
        <v>Tuesday</v>
      </c>
    </row>
    <row r="640" spans="1:12" ht="14.25" customHeight="1" x14ac:dyDescent="0.45">
      <c r="A640" t="s">
        <v>689</v>
      </c>
      <c r="B640" s="2" t="s">
        <v>445</v>
      </c>
      <c r="C640" t="s">
        <v>72</v>
      </c>
      <c r="D640" t="s">
        <v>334</v>
      </c>
      <c r="E640" t="s">
        <v>335</v>
      </c>
      <c r="F640" t="s">
        <v>140</v>
      </c>
      <c r="G640">
        <v>1</v>
      </c>
      <c r="H640" s="3">
        <v>3820</v>
      </c>
      <c r="I640" s="3">
        <v>3820</v>
      </c>
      <c r="J640" t="s">
        <v>76</v>
      </c>
      <c r="K640" t="s">
        <v>83</v>
      </c>
      <c r="L640" t="str">
        <f t="shared" si="9"/>
        <v>Tuesday</v>
      </c>
    </row>
    <row r="641" spans="1:12" ht="14.25" customHeight="1" x14ac:dyDescent="0.45">
      <c r="A641" t="s">
        <v>485</v>
      </c>
      <c r="B641" s="2" t="s">
        <v>179</v>
      </c>
      <c r="C641" t="s">
        <v>89</v>
      </c>
      <c r="D641" t="s">
        <v>73</v>
      </c>
      <c r="E641" t="s">
        <v>443</v>
      </c>
      <c r="F641" t="s">
        <v>107</v>
      </c>
      <c r="G641">
        <v>2</v>
      </c>
      <c r="H641" s="3">
        <v>3400</v>
      </c>
      <c r="I641" s="3">
        <v>6800</v>
      </c>
      <c r="J641" t="s">
        <v>82</v>
      </c>
      <c r="K641" t="s">
        <v>93</v>
      </c>
      <c r="L641" t="str">
        <f t="shared" si="9"/>
        <v>Monday</v>
      </c>
    </row>
    <row r="642" spans="1:12" ht="14.25" customHeight="1" x14ac:dyDescent="0.45">
      <c r="A642" t="s">
        <v>1202</v>
      </c>
      <c r="B642" s="2" t="s">
        <v>175</v>
      </c>
      <c r="C642" t="s">
        <v>96</v>
      </c>
      <c r="D642" t="s">
        <v>472</v>
      </c>
      <c r="E642" t="s">
        <v>557</v>
      </c>
      <c r="F642" t="s">
        <v>140</v>
      </c>
      <c r="G642">
        <v>1</v>
      </c>
      <c r="H642" s="3">
        <v>1200</v>
      </c>
      <c r="I642" s="3">
        <v>1200</v>
      </c>
      <c r="J642" t="s">
        <v>76</v>
      </c>
      <c r="K642" t="s">
        <v>93</v>
      </c>
      <c r="L642" t="str">
        <f t="shared" ref="L642:L705" si="10">TEXT(B642,"dddd")</f>
        <v>Saturday</v>
      </c>
    </row>
    <row r="643" spans="1:12" ht="14.25" customHeight="1" x14ac:dyDescent="0.45">
      <c r="A643" t="s">
        <v>238</v>
      </c>
      <c r="B643" s="2" t="s">
        <v>109</v>
      </c>
      <c r="C643" t="s">
        <v>89</v>
      </c>
      <c r="D643" t="s">
        <v>73</v>
      </c>
      <c r="E643" t="s">
        <v>101</v>
      </c>
      <c r="F643" t="s">
        <v>140</v>
      </c>
      <c r="G643">
        <v>1</v>
      </c>
      <c r="H643" s="3">
        <v>42210</v>
      </c>
      <c r="I643" s="3">
        <v>42210</v>
      </c>
      <c r="J643" t="s">
        <v>82</v>
      </c>
      <c r="K643" t="s">
        <v>83</v>
      </c>
      <c r="L643" t="str">
        <f t="shared" si="10"/>
        <v>Saturday</v>
      </c>
    </row>
    <row r="644" spans="1:12" ht="14.25" customHeight="1" x14ac:dyDescent="0.45">
      <c r="A644" t="s">
        <v>902</v>
      </c>
      <c r="B644" s="2" t="s">
        <v>632</v>
      </c>
      <c r="C644" t="s">
        <v>89</v>
      </c>
      <c r="D644" t="s">
        <v>472</v>
      </c>
      <c r="E644" t="s">
        <v>473</v>
      </c>
      <c r="F644" t="s">
        <v>86</v>
      </c>
      <c r="G644">
        <v>1</v>
      </c>
      <c r="H644" s="3">
        <v>2460</v>
      </c>
      <c r="I644" s="3">
        <v>2460</v>
      </c>
      <c r="J644" t="s">
        <v>76</v>
      </c>
      <c r="K644" t="s">
        <v>93</v>
      </c>
      <c r="L644" t="str">
        <f t="shared" si="10"/>
        <v>Thursday</v>
      </c>
    </row>
    <row r="645" spans="1:12" ht="14.25" customHeight="1" x14ac:dyDescent="0.45">
      <c r="A645" t="s">
        <v>859</v>
      </c>
      <c r="B645" s="2" t="s">
        <v>281</v>
      </c>
      <c r="C645" t="s">
        <v>96</v>
      </c>
      <c r="D645" t="s">
        <v>73</v>
      </c>
      <c r="E645" t="s">
        <v>441</v>
      </c>
      <c r="F645" t="s">
        <v>75</v>
      </c>
      <c r="G645">
        <v>1</v>
      </c>
      <c r="H645" s="3">
        <v>2760</v>
      </c>
      <c r="I645" s="3">
        <v>2760</v>
      </c>
      <c r="J645" t="s">
        <v>76</v>
      </c>
      <c r="K645" t="s">
        <v>77</v>
      </c>
      <c r="L645" t="str">
        <f t="shared" si="10"/>
        <v>Sunday</v>
      </c>
    </row>
    <row r="646" spans="1:12" ht="14.25" customHeight="1" x14ac:dyDescent="0.45">
      <c r="A646" t="s">
        <v>149</v>
      </c>
      <c r="B646" s="2" t="s">
        <v>150</v>
      </c>
      <c r="C646" t="s">
        <v>100</v>
      </c>
      <c r="D646" t="s">
        <v>73</v>
      </c>
      <c r="E646" t="s">
        <v>74</v>
      </c>
      <c r="F646" t="s">
        <v>86</v>
      </c>
      <c r="G646">
        <v>1</v>
      </c>
      <c r="H646" s="3">
        <v>95130</v>
      </c>
      <c r="I646" s="3">
        <v>95130</v>
      </c>
      <c r="J646" t="s">
        <v>82</v>
      </c>
      <c r="K646" t="s">
        <v>83</v>
      </c>
      <c r="L646" t="str">
        <f t="shared" si="10"/>
        <v>Saturday</v>
      </c>
    </row>
    <row r="647" spans="1:12" ht="14.25" customHeight="1" x14ac:dyDescent="0.45">
      <c r="A647" t="s">
        <v>830</v>
      </c>
      <c r="B647" s="2" t="s">
        <v>92</v>
      </c>
      <c r="C647" t="s">
        <v>89</v>
      </c>
      <c r="D647" t="s">
        <v>472</v>
      </c>
      <c r="E647" t="s">
        <v>497</v>
      </c>
      <c r="F647" t="s">
        <v>75</v>
      </c>
      <c r="G647">
        <v>1</v>
      </c>
      <c r="H647" s="3">
        <v>3040</v>
      </c>
      <c r="I647" s="3">
        <v>3040</v>
      </c>
      <c r="J647" t="s">
        <v>82</v>
      </c>
      <c r="K647" t="s">
        <v>83</v>
      </c>
      <c r="L647" t="str">
        <f t="shared" si="10"/>
        <v>Saturday</v>
      </c>
    </row>
    <row r="648" spans="1:12" ht="14.25" customHeight="1" x14ac:dyDescent="0.45">
      <c r="A648" t="s">
        <v>1021</v>
      </c>
      <c r="B648" s="2" t="s">
        <v>445</v>
      </c>
      <c r="C648" t="s">
        <v>72</v>
      </c>
      <c r="D648" t="s">
        <v>334</v>
      </c>
      <c r="E648" t="s">
        <v>527</v>
      </c>
      <c r="F648" t="s">
        <v>97</v>
      </c>
      <c r="G648">
        <v>1</v>
      </c>
      <c r="H648" s="3">
        <v>1940</v>
      </c>
      <c r="I648" s="3">
        <v>1940</v>
      </c>
      <c r="J648" t="s">
        <v>76</v>
      </c>
      <c r="K648" t="s">
        <v>83</v>
      </c>
      <c r="L648" t="str">
        <f t="shared" si="10"/>
        <v>Tuesday</v>
      </c>
    </row>
    <row r="649" spans="1:12" ht="14.25" customHeight="1" x14ac:dyDescent="0.45">
      <c r="A649" t="s">
        <v>492</v>
      </c>
      <c r="B649" s="2" t="s">
        <v>173</v>
      </c>
      <c r="C649" t="s">
        <v>89</v>
      </c>
      <c r="D649" t="s">
        <v>398</v>
      </c>
      <c r="E649" t="s">
        <v>399</v>
      </c>
      <c r="F649" t="s">
        <v>90</v>
      </c>
      <c r="G649">
        <v>2</v>
      </c>
      <c r="H649" s="3">
        <v>3280</v>
      </c>
      <c r="I649" s="3">
        <v>6560</v>
      </c>
      <c r="J649" t="s">
        <v>82</v>
      </c>
      <c r="K649" t="s">
        <v>77</v>
      </c>
      <c r="L649" t="str">
        <f t="shared" si="10"/>
        <v>Tuesday</v>
      </c>
    </row>
    <row r="650" spans="1:12" ht="14.25" customHeight="1" x14ac:dyDescent="0.45">
      <c r="A650" t="s">
        <v>1220</v>
      </c>
      <c r="B650" s="2" t="s">
        <v>387</v>
      </c>
      <c r="C650" t="s">
        <v>89</v>
      </c>
      <c r="D650" t="s">
        <v>472</v>
      </c>
      <c r="E650" t="s">
        <v>557</v>
      </c>
      <c r="F650" t="s">
        <v>123</v>
      </c>
      <c r="G650">
        <v>1</v>
      </c>
      <c r="H650" s="3">
        <v>1160</v>
      </c>
      <c r="I650" s="3">
        <v>1160</v>
      </c>
      <c r="J650" t="s">
        <v>76</v>
      </c>
      <c r="K650" t="s">
        <v>83</v>
      </c>
      <c r="L650" t="str">
        <f t="shared" si="10"/>
        <v>Thursday</v>
      </c>
    </row>
    <row r="651" spans="1:12" ht="14.25" customHeight="1" x14ac:dyDescent="0.45">
      <c r="A651" t="s">
        <v>777</v>
      </c>
      <c r="B651" s="2" t="s">
        <v>311</v>
      </c>
      <c r="C651" t="s">
        <v>89</v>
      </c>
      <c r="D651" t="s">
        <v>472</v>
      </c>
      <c r="E651" t="s">
        <v>497</v>
      </c>
      <c r="F651" t="s">
        <v>123</v>
      </c>
      <c r="G651">
        <v>1</v>
      </c>
      <c r="H651" s="3">
        <v>3180</v>
      </c>
      <c r="I651" s="3">
        <v>3180</v>
      </c>
      <c r="J651" t="s">
        <v>82</v>
      </c>
      <c r="K651" t="s">
        <v>83</v>
      </c>
      <c r="L651" t="str">
        <f t="shared" si="10"/>
        <v>Thursday</v>
      </c>
    </row>
    <row r="652" spans="1:12" ht="14.25" customHeight="1" x14ac:dyDescent="0.45">
      <c r="A652" t="s">
        <v>887</v>
      </c>
      <c r="B652" s="2" t="s">
        <v>530</v>
      </c>
      <c r="C652" t="s">
        <v>80</v>
      </c>
      <c r="D652" t="s">
        <v>398</v>
      </c>
      <c r="E652" t="s">
        <v>464</v>
      </c>
      <c r="F652" t="s">
        <v>97</v>
      </c>
      <c r="G652">
        <v>1</v>
      </c>
      <c r="H652" s="3">
        <v>2530</v>
      </c>
      <c r="I652" s="3">
        <v>2530</v>
      </c>
      <c r="J652" t="s">
        <v>82</v>
      </c>
      <c r="K652" t="s">
        <v>77</v>
      </c>
      <c r="L652" t="str">
        <f t="shared" si="10"/>
        <v>Tuesday</v>
      </c>
    </row>
    <row r="653" spans="1:12" ht="14.25" customHeight="1" x14ac:dyDescent="0.45">
      <c r="A653" t="s">
        <v>1166</v>
      </c>
      <c r="B653" s="2" t="s">
        <v>817</v>
      </c>
      <c r="C653" t="s">
        <v>100</v>
      </c>
      <c r="D653" t="s">
        <v>334</v>
      </c>
      <c r="E653" t="s">
        <v>515</v>
      </c>
      <c r="F653" t="s">
        <v>90</v>
      </c>
      <c r="G653">
        <v>1</v>
      </c>
      <c r="H653" s="3">
        <v>1450</v>
      </c>
      <c r="I653" s="3">
        <v>1450</v>
      </c>
      <c r="J653" t="s">
        <v>76</v>
      </c>
      <c r="K653" t="s">
        <v>93</v>
      </c>
      <c r="L653" t="str">
        <f t="shared" si="10"/>
        <v>Saturday</v>
      </c>
    </row>
    <row r="654" spans="1:12" ht="14.25" customHeight="1" x14ac:dyDescent="0.45">
      <c r="A654" t="s">
        <v>457</v>
      </c>
      <c r="B654" s="2" t="s">
        <v>242</v>
      </c>
      <c r="C654" t="s">
        <v>72</v>
      </c>
      <c r="D654" t="s">
        <v>334</v>
      </c>
      <c r="E654" t="s">
        <v>402</v>
      </c>
      <c r="F654" t="s">
        <v>81</v>
      </c>
      <c r="G654">
        <v>2</v>
      </c>
      <c r="H654" s="3">
        <v>4170</v>
      </c>
      <c r="I654" s="3">
        <v>8340</v>
      </c>
      <c r="J654" t="s">
        <v>82</v>
      </c>
      <c r="K654" t="s">
        <v>77</v>
      </c>
      <c r="L654" t="str">
        <f t="shared" si="10"/>
        <v>Tuesday</v>
      </c>
    </row>
    <row r="655" spans="1:12" ht="14.25" customHeight="1" x14ac:dyDescent="0.45">
      <c r="A655" t="s">
        <v>1115</v>
      </c>
      <c r="B655" s="2" t="s">
        <v>85</v>
      </c>
      <c r="C655" t="s">
        <v>100</v>
      </c>
      <c r="D655" t="s">
        <v>472</v>
      </c>
      <c r="E655" t="s">
        <v>500</v>
      </c>
      <c r="F655" t="s">
        <v>90</v>
      </c>
      <c r="G655">
        <v>1</v>
      </c>
      <c r="H655" s="3">
        <v>1610</v>
      </c>
      <c r="I655" s="3">
        <v>1610</v>
      </c>
      <c r="J655" t="s">
        <v>76</v>
      </c>
      <c r="K655" t="s">
        <v>93</v>
      </c>
      <c r="L655" t="str">
        <f t="shared" si="10"/>
        <v>Wednesday</v>
      </c>
    </row>
    <row r="656" spans="1:12" ht="14.25" customHeight="1" x14ac:dyDescent="0.45">
      <c r="A656" t="s">
        <v>351</v>
      </c>
      <c r="B656" s="2" t="s">
        <v>352</v>
      </c>
      <c r="C656" t="s">
        <v>89</v>
      </c>
      <c r="D656" t="s">
        <v>196</v>
      </c>
      <c r="E656" t="s">
        <v>214</v>
      </c>
      <c r="F656" t="s">
        <v>75</v>
      </c>
      <c r="G656">
        <v>1</v>
      </c>
      <c r="H656" s="3">
        <v>15330</v>
      </c>
      <c r="I656" s="3">
        <v>15330</v>
      </c>
      <c r="J656" t="s">
        <v>76</v>
      </c>
      <c r="K656" t="s">
        <v>83</v>
      </c>
      <c r="L656" t="str">
        <f t="shared" si="10"/>
        <v>Saturday</v>
      </c>
    </row>
    <row r="657" spans="1:12" ht="14.25" customHeight="1" x14ac:dyDescent="0.45">
      <c r="A657" t="s">
        <v>496</v>
      </c>
      <c r="B657" s="2" t="s">
        <v>130</v>
      </c>
      <c r="C657" t="s">
        <v>96</v>
      </c>
      <c r="D657" t="s">
        <v>472</v>
      </c>
      <c r="E657" t="s">
        <v>497</v>
      </c>
      <c r="F657" t="s">
        <v>75</v>
      </c>
      <c r="G657">
        <v>2</v>
      </c>
      <c r="H657" s="3">
        <v>3220</v>
      </c>
      <c r="I657" s="3">
        <v>6440</v>
      </c>
      <c r="J657" t="s">
        <v>82</v>
      </c>
      <c r="K657" t="s">
        <v>83</v>
      </c>
      <c r="L657" t="str">
        <f t="shared" si="10"/>
        <v>Monday</v>
      </c>
    </row>
    <row r="658" spans="1:12" ht="14.25" customHeight="1" x14ac:dyDescent="0.45">
      <c r="A658" t="s">
        <v>654</v>
      </c>
      <c r="B658" s="2" t="s">
        <v>307</v>
      </c>
      <c r="C658" t="s">
        <v>96</v>
      </c>
      <c r="D658" t="s">
        <v>334</v>
      </c>
      <c r="E658" t="s">
        <v>402</v>
      </c>
      <c r="F658" t="s">
        <v>140</v>
      </c>
      <c r="G658">
        <v>1</v>
      </c>
      <c r="H658" s="3">
        <v>4180</v>
      </c>
      <c r="I658" s="3">
        <v>4180</v>
      </c>
      <c r="J658" t="s">
        <v>76</v>
      </c>
      <c r="K658" t="s">
        <v>77</v>
      </c>
      <c r="L658" t="str">
        <f t="shared" si="10"/>
        <v>Sunday</v>
      </c>
    </row>
    <row r="659" spans="1:12" ht="14.25" customHeight="1" x14ac:dyDescent="0.45">
      <c r="A659" t="s">
        <v>1244</v>
      </c>
      <c r="B659" s="2" t="s">
        <v>363</v>
      </c>
      <c r="C659" t="s">
        <v>100</v>
      </c>
      <c r="D659" t="s">
        <v>472</v>
      </c>
      <c r="E659" t="s">
        <v>691</v>
      </c>
      <c r="F659" t="s">
        <v>75</v>
      </c>
      <c r="G659">
        <v>1</v>
      </c>
      <c r="H659" s="3">
        <v>950</v>
      </c>
      <c r="I659" s="3">
        <v>950</v>
      </c>
      <c r="J659" t="s">
        <v>76</v>
      </c>
      <c r="K659" t="s">
        <v>77</v>
      </c>
      <c r="L659" t="str">
        <f t="shared" si="10"/>
        <v>Sunday</v>
      </c>
    </row>
    <row r="660" spans="1:12" ht="14.25" customHeight="1" x14ac:dyDescent="0.45">
      <c r="A660" t="s">
        <v>1189</v>
      </c>
      <c r="B660" s="2" t="s">
        <v>122</v>
      </c>
      <c r="C660" t="s">
        <v>100</v>
      </c>
      <c r="D660" t="s">
        <v>472</v>
      </c>
      <c r="E660" t="s">
        <v>557</v>
      </c>
      <c r="F660" t="s">
        <v>90</v>
      </c>
      <c r="G660">
        <v>1</v>
      </c>
      <c r="H660" s="3">
        <v>1220</v>
      </c>
      <c r="I660" s="3">
        <v>1220</v>
      </c>
      <c r="J660" t="s">
        <v>76</v>
      </c>
      <c r="K660" t="s">
        <v>83</v>
      </c>
      <c r="L660" t="str">
        <f t="shared" si="10"/>
        <v>Friday</v>
      </c>
    </row>
    <row r="661" spans="1:12" ht="14.25" customHeight="1" x14ac:dyDescent="0.45">
      <c r="A661" t="s">
        <v>916</v>
      </c>
      <c r="B661" s="2" t="s">
        <v>363</v>
      </c>
      <c r="C661" t="s">
        <v>100</v>
      </c>
      <c r="D661" t="s">
        <v>472</v>
      </c>
      <c r="E661" t="s">
        <v>557</v>
      </c>
      <c r="F661" t="s">
        <v>123</v>
      </c>
      <c r="G661">
        <v>2</v>
      </c>
      <c r="H661" s="3">
        <v>1210</v>
      </c>
      <c r="I661" s="3">
        <v>2420</v>
      </c>
      <c r="J661" t="s">
        <v>82</v>
      </c>
      <c r="K661" t="s">
        <v>93</v>
      </c>
      <c r="L661" t="str">
        <f t="shared" si="10"/>
        <v>Sunday</v>
      </c>
    </row>
    <row r="662" spans="1:12" ht="14.25" customHeight="1" x14ac:dyDescent="0.45">
      <c r="A662" t="s">
        <v>991</v>
      </c>
      <c r="B662" s="2" t="s">
        <v>208</v>
      </c>
      <c r="C662" t="s">
        <v>89</v>
      </c>
      <c r="D662" t="s">
        <v>398</v>
      </c>
      <c r="E662" t="s">
        <v>462</v>
      </c>
      <c r="F662" t="s">
        <v>86</v>
      </c>
      <c r="G662">
        <v>1</v>
      </c>
      <c r="H662" s="3">
        <v>2120</v>
      </c>
      <c r="I662" s="3">
        <v>2120</v>
      </c>
      <c r="J662" t="s">
        <v>82</v>
      </c>
      <c r="K662" t="s">
        <v>77</v>
      </c>
      <c r="L662" t="str">
        <f t="shared" si="10"/>
        <v>Wednesday</v>
      </c>
    </row>
    <row r="663" spans="1:12" ht="14.25" customHeight="1" x14ac:dyDescent="0.45">
      <c r="A663" t="s">
        <v>1057</v>
      </c>
      <c r="B663" s="2" t="s">
        <v>583</v>
      </c>
      <c r="C663" t="s">
        <v>100</v>
      </c>
      <c r="D663" t="s">
        <v>334</v>
      </c>
      <c r="E663" t="s">
        <v>527</v>
      </c>
      <c r="F663" t="s">
        <v>140</v>
      </c>
      <c r="G663">
        <v>1</v>
      </c>
      <c r="H663" s="3">
        <v>1850</v>
      </c>
      <c r="I663" s="3">
        <v>1850</v>
      </c>
      <c r="J663" t="s">
        <v>76</v>
      </c>
      <c r="K663" t="s">
        <v>77</v>
      </c>
      <c r="L663" t="str">
        <f t="shared" si="10"/>
        <v>Wednesday</v>
      </c>
    </row>
    <row r="664" spans="1:12" ht="14.25" customHeight="1" x14ac:dyDescent="0.45">
      <c r="A664" t="s">
        <v>1098</v>
      </c>
      <c r="B664" s="2" t="s">
        <v>391</v>
      </c>
      <c r="C664" t="s">
        <v>100</v>
      </c>
      <c r="D664" t="s">
        <v>472</v>
      </c>
      <c r="E664" t="s">
        <v>500</v>
      </c>
      <c r="F664" t="s">
        <v>131</v>
      </c>
      <c r="G664">
        <v>1</v>
      </c>
      <c r="H664" s="3">
        <v>1660</v>
      </c>
      <c r="I664" s="3">
        <v>1660</v>
      </c>
      <c r="J664" t="s">
        <v>76</v>
      </c>
      <c r="K664" t="s">
        <v>83</v>
      </c>
      <c r="L664" t="str">
        <f t="shared" si="10"/>
        <v>Monday</v>
      </c>
    </row>
    <row r="665" spans="1:12" ht="14.25" customHeight="1" x14ac:dyDescent="0.45">
      <c r="A665" t="s">
        <v>1085</v>
      </c>
      <c r="B665" s="2" t="s">
        <v>1086</v>
      </c>
      <c r="C665" t="s">
        <v>96</v>
      </c>
      <c r="D665" t="s">
        <v>398</v>
      </c>
      <c r="E665" t="s">
        <v>475</v>
      </c>
      <c r="F665" t="s">
        <v>123</v>
      </c>
      <c r="G665">
        <v>1</v>
      </c>
      <c r="H665" s="3">
        <v>1760</v>
      </c>
      <c r="I665" s="3">
        <v>1760</v>
      </c>
      <c r="J665" t="s">
        <v>76</v>
      </c>
      <c r="K665" t="s">
        <v>77</v>
      </c>
      <c r="L665" t="str">
        <f t="shared" si="10"/>
        <v>Thursday</v>
      </c>
    </row>
    <row r="666" spans="1:12" ht="14.25" customHeight="1" x14ac:dyDescent="0.45">
      <c r="A666" t="s">
        <v>1004</v>
      </c>
      <c r="B666" s="2" t="s">
        <v>365</v>
      </c>
      <c r="C666" t="s">
        <v>100</v>
      </c>
      <c r="D666" t="s">
        <v>398</v>
      </c>
      <c r="E666" t="s">
        <v>462</v>
      </c>
      <c r="F666" t="s">
        <v>75</v>
      </c>
      <c r="G666">
        <v>1</v>
      </c>
      <c r="H666" s="3">
        <v>2050</v>
      </c>
      <c r="I666" s="3">
        <v>2050</v>
      </c>
      <c r="J666" t="s">
        <v>76</v>
      </c>
      <c r="K666" t="s">
        <v>93</v>
      </c>
      <c r="L666" t="str">
        <f t="shared" si="10"/>
        <v>Friday</v>
      </c>
    </row>
    <row r="667" spans="1:12" ht="14.25" customHeight="1" x14ac:dyDescent="0.45">
      <c r="A667" t="s">
        <v>548</v>
      </c>
      <c r="B667" s="2" t="s">
        <v>467</v>
      </c>
      <c r="C667" t="s">
        <v>100</v>
      </c>
      <c r="D667" t="s">
        <v>398</v>
      </c>
      <c r="E667" t="s">
        <v>464</v>
      </c>
      <c r="F667" t="s">
        <v>90</v>
      </c>
      <c r="G667">
        <v>2</v>
      </c>
      <c r="H667" s="3">
        <v>2520</v>
      </c>
      <c r="I667" s="3">
        <v>5040</v>
      </c>
      <c r="J667" t="s">
        <v>82</v>
      </c>
      <c r="K667" t="s">
        <v>83</v>
      </c>
      <c r="L667" t="str">
        <f t="shared" si="10"/>
        <v>Thursday</v>
      </c>
    </row>
    <row r="668" spans="1:12" ht="14.25" customHeight="1" x14ac:dyDescent="0.45">
      <c r="A668" t="s">
        <v>823</v>
      </c>
      <c r="B668" s="2" t="s">
        <v>79</v>
      </c>
      <c r="C668" t="s">
        <v>80</v>
      </c>
      <c r="D668" t="s">
        <v>398</v>
      </c>
      <c r="E668" t="s">
        <v>399</v>
      </c>
      <c r="F668" t="s">
        <v>107</v>
      </c>
      <c r="G668">
        <v>1</v>
      </c>
      <c r="H668" s="3">
        <v>3070</v>
      </c>
      <c r="I668" s="3">
        <v>3070</v>
      </c>
      <c r="J668" t="s">
        <v>76</v>
      </c>
      <c r="K668" t="s">
        <v>83</v>
      </c>
      <c r="L668" t="str">
        <f t="shared" si="10"/>
        <v>Thursday</v>
      </c>
    </row>
    <row r="669" spans="1:12" ht="14.25" customHeight="1" x14ac:dyDescent="0.45">
      <c r="A669" t="s">
        <v>682</v>
      </c>
      <c r="B669" s="2" t="s">
        <v>522</v>
      </c>
      <c r="C669" t="s">
        <v>80</v>
      </c>
      <c r="D669" t="s">
        <v>334</v>
      </c>
      <c r="E669" t="s">
        <v>335</v>
      </c>
      <c r="F669" t="s">
        <v>140</v>
      </c>
      <c r="G669">
        <v>1</v>
      </c>
      <c r="H669" s="3">
        <v>3890</v>
      </c>
      <c r="I669" s="3">
        <v>3890</v>
      </c>
      <c r="J669" t="s">
        <v>82</v>
      </c>
      <c r="K669" t="s">
        <v>77</v>
      </c>
      <c r="L669" t="str">
        <f t="shared" si="10"/>
        <v>Thursday</v>
      </c>
    </row>
    <row r="670" spans="1:12" ht="14.25" customHeight="1" x14ac:dyDescent="0.45">
      <c r="A670" t="s">
        <v>458</v>
      </c>
      <c r="B670" s="2" t="s">
        <v>164</v>
      </c>
      <c r="C670" t="s">
        <v>72</v>
      </c>
      <c r="D670" t="s">
        <v>334</v>
      </c>
      <c r="E670" t="s">
        <v>402</v>
      </c>
      <c r="F670" t="s">
        <v>117</v>
      </c>
      <c r="G670">
        <v>2</v>
      </c>
      <c r="H670" s="3">
        <v>4160</v>
      </c>
      <c r="I670" s="3">
        <v>8320</v>
      </c>
      <c r="J670" t="s">
        <v>76</v>
      </c>
      <c r="K670" t="s">
        <v>83</v>
      </c>
      <c r="L670" t="str">
        <f t="shared" si="10"/>
        <v>Friday</v>
      </c>
    </row>
    <row r="671" spans="1:12" ht="14.25" customHeight="1" x14ac:dyDescent="0.45">
      <c r="A671" t="s">
        <v>1007</v>
      </c>
      <c r="B671" s="2" t="s">
        <v>381</v>
      </c>
      <c r="C671" t="s">
        <v>89</v>
      </c>
      <c r="D671" t="s">
        <v>398</v>
      </c>
      <c r="E671" t="s">
        <v>462</v>
      </c>
      <c r="F671" t="s">
        <v>131</v>
      </c>
      <c r="G671">
        <v>1</v>
      </c>
      <c r="H671" s="3">
        <v>2040</v>
      </c>
      <c r="I671" s="3">
        <v>2040</v>
      </c>
      <c r="J671" t="s">
        <v>76</v>
      </c>
      <c r="K671" t="s">
        <v>77</v>
      </c>
      <c r="L671" t="str">
        <f t="shared" si="10"/>
        <v>Sunday</v>
      </c>
    </row>
    <row r="672" spans="1:12" ht="14.25" customHeight="1" x14ac:dyDescent="0.45">
      <c r="A672" t="s">
        <v>992</v>
      </c>
      <c r="B672" s="2" t="s">
        <v>481</v>
      </c>
      <c r="C672" t="s">
        <v>80</v>
      </c>
      <c r="D672" t="s">
        <v>398</v>
      </c>
      <c r="E672" t="s">
        <v>448</v>
      </c>
      <c r="F672" t="s">
        <v>97</v>
      </c>
      <c r="G672">
        <v>1</v>
      </c>
      <c r="H672" s="3">
        <v>2120</v>
      </c>
      <c r="I672" s="3">
        <v>2120</v>
      </c>
      <c r="J672" t="s">
        <v>82</v>
      </c>
      <c r="K672" t="s">
        <v>93</v>
      </c>
      <c r="L672" t="str">
        <f t="shared" si="10"/>
        <v>Monday</v>
      </c>
    </row>
    <row r="673" spans="1:12" ht="14.25" customHeight="1" x14ac:dyDescent="0.45">
      <c r="A673" t="s">
        <v>379</v>
      </c>
      <c r="B673" s="2" t="s">
        <v>324</v>
      </c>
      <c r="C673" t="s">
        <v>80</v>
      </c>
      <c r="D673" t="s">
        <v>196</v>
      </c>
      <c r="E673" t="s">
        <v>246</v>
      </c>
      <c r="F673" t="s">
        <v>97</v>
      </c>
      <c r="G673">
        <v>1</v>
      </c>
      <c r="H673" s="3">
        <v>13540</v>
      </c>
      <c r="I673" s="3">
        <v>13540</v>
      </c>
      <c r="J673" t="s">
        <v>76</v>
      </c>
      <c r="K673" t="s">
        <v>83</v>
      </c>
      <c r="L673" t="str">
        <f t="shared" si="10"/>
        <v>Sunday</v>
      </c>
    </row>
    <row r="674" spans="1:12" ht="14.25" customHeight="1" x14ac:dyDescent="0.45">
      <c r="A674" t="s">
        <v>576</v>
      </c>
      <c r="B674" s="2" t="s">
        <v>283</v>
      </c>
      <c r="C674" t="s">
        <v>100</v>
      </c>
      <c r="D674" t="s">
        <v>398</v>
      </c>
      <c r="E674" t="s">
        <v>448</v>
      </c>
      <c r="F674" t="s">
        <v>81</v>
      </c>
      <c r="G674">
        <v>2</v>
      </c>
      <c r="H674" s="3">
        <v>2290</v>
      </c>
      <c r="I674" s="3">
        <v>4580</v>
      </c>
      <c r="J674" t="s">
        <v>82</v>
      </c>
      <c r="K674" t="s">
        <v>93</v>
      </c>
      <c r="L674" t="str">
        <f t="shared" si="10"/>
        <v>Thursday</v>
      </c>
    </row>
    <row r="675" spans="1:12" ht="14.25" customHeight="1" x14ac:dyDescent="0.45">
      <c r="A675" t="s">
        <v>668</v>
      </c>
      <c r="B675" s="2" t="s">
        <v>337</v>
      </c>
      <c r="C675" t="s">
        <v>96</v>
      </c>
      <c r="D675" t="s">
        <v>398</v>
      </c>
      <c r="E675" t="s">
        <v>462</v>
      </c>
      <c r="F675" t="s">
        <v>81</v>
      </c>
      <c r="G675">
        <v>2</v>
      </c>
      <c r="H675" s="3">
        <v>2040</v>
      </c>
      <c r="I675" s="3">
        <v>4080</v>
      </c>
      <c r="J675" t="s">
        <v>76</v>
      </c>
      <c r="K675" t="s">
        <v>77</v>
      </c>
      <c r="L675" t="str">
        <f t="shared" si="10"/>
        <v>Monday</v>
      </c>
    </row>
    <row r="676" spans="1:12" ht="14.25" customHeight="1" x14ac:dyDescent="0.45">
      <c r="A676" t="s">
        <v>917</v>
      </c>
      <c r="B676" s="2" t="s">
        <v>502</v>
      </c>
      <c r="C676" t="s">
        <v>89</v>
      </c>
      <c r="D676" t="s">
        <v>472</v>
      </c>
      <c r="E676" t="s">
        <v>557</v>
      </c>
      <c r="F676" t="s">
        <v>97</v>
      </c>
      <c r="G676">
        <v>2</v>
      </c>
      <c r="H676" s="3">
        <v>1210</v>
      </c>
      <c r="I676" s="3">
        <v>2420</v>
      </c>
      <c r="J676" t="s">
        <v>76</v>
      </c>
      <c r="K676" t="s">
        <v>93</v>
      </c>
      <c r="L676" t="str">
        <f t="shared" si="10"/>
        <v>Sunday</v>
      </c>
    </row>
    <row r="677" spans="1:12" ht="14.25" customHeight="1" x14ac:dyDescent="0.45">
      <c r="A677" t="s">
        <v>384</v>
      </c>
      <c r="B677" s="2" t="s">
        <v>385</v>
      </c>
      <c r="C677" t="s">
        <v>100</v>
      </c>
      <c r="D677" t="s">
        <v>196</v>
      </c>
      <c r="E677" t="s">
        <v>246</v>
      </c>
      <c r="F677" t="s">
        <v>86</v>
      </c>
      <c r="G677">
        <v>1</v>
      </c>
      <c r="H677" s="3">
        <v>13210</v>
      </c>
      <c r="I677" s="3">
        <v>13210</v>
      </c>
      <c r="J677" t="s">
        <v>82</v>
      </c>
      <c r="K677" t="s">
        <v>77</v>
      </c>
      <c r="L677" t="str">
        <f t="shared" si="10"/>
        <v>Monday</v>
      </c>
    </row>
    <row r="678" spans="1:12" ht="14.25" customHeight="1" x14ac:dyDescent="0.45">
      <c r="A678" t="s">
        <v>640</v>
      </c>
      <c r="B678" s="2" t="s">
        <v>562</v>
      </c>
      <c r="C678" t="s">
        <v>89</v>
      </c>
      <c r="D678" t="s">
        <v>334</v>
      </c>
      <c r="E678" t="s">
        <v>402</v>
      </c>
      <c r="F678" t="s">
        <v>117</v>
      </c>
      <c r="G678">
        <v>1</v>
      </c>
      <c r="H678" s="3">
        <v>4240</v>
      </c>
      <c r="I678" s="3">
        <v>4240</v>
      </c>
      <c r="J678" t="s">
        <v>76</v>
      </c>
      <c r="K678" t="s">
        <v>93</v>
      </c>
      <c r="L678" t="str">
        <f t="shared" si="10"/>
        <v>Saturday</v>
      </c>
    </row>
    <row r="679" spans="1:12" ht="14.25" customHeight="1" x14ac:dyDescent="0.45">
      <c r="A679" t="s">
        <v>903</v>
      </c>
      <c r="B679" s="2" t="s">
        <v>88</v>
      </c>
      <c r="C679" t="s">
        <v>80</v>
      </c>
      <c r="D679" t="s">
        <v>472</v>
      </c>
      <c r="E679" t="s">
        <v>473</v>
      </c>
      <c r="F679" t="s">
        <v>75</v>
      </c>
      <c r="G679">
        <v>1</v>
      </c>
      <c r="H679" s="3">
        <v>2460</v>
      </c>
      <c r="I679" s="3">
        <v>2460</v>
      </c>
      <c r="J679" t="s">
        <v>82</v>
      </c>
      <c r="K679" t="s">
        <v>83</v>
      </c>
      <c r="L679" t="str">
        <f t="shared" si="10"/>
        <v>Wednesday</v>
      </c>
    </row>
    <row r="680" spans="1:12" ht="14.25" customHeight="1" x14ac:dyDescent="0.45">
      <c r="A680" t="s">
        <v>765</v>
      </c>
      <c r="B680" s="2" t="s">
        <v>181</v>
      </c>
      <c r="C680" t="s">
        <v>72</v>
      </c>
      <c r="D680" t="s">
        <v>398</v>
      </c>
      <c r="E680" t="s">
        <v>399</v>
      </c>
      <c r="F680" t="s">
        <v>140</v>
      </c>
      <c r="G680">
        <v>1</v>
      </c>
      <c r="H680" s="3">
        <v>3210</v>
      </c>
      <c r="I680" s="3">
        <v>3210</v>
      </c>
      <c r="J680" t="s">
        <v>76</v>
      </c>
      <c r="K680" t="s">
        <v>93</v>
      </c>
      <c r="L680" t="str">
        <f t="shared" si="10"/>
        <v>Thursday</v>
      </c>
    </row>
    <row r="681" spans="1:12" ht="14.25" customHeight="1" x14ac:dyDescent="0.45">
      <c r="A681" t="s">
        <v>1203</v>
      </c>
      <c r="B681" s="2" t="s">
        <v>627</v>
      </c>
      <c r="C681" t="s">
        <v>89</v>
      </c>
      <c r="D681" t="s">
        <v>472</v>
      </c>
      <c r="E681" t="s">
        <v>557</v>
      </c>
      <c r="F681" t="s">
        <v>117</v>
      </c>
      <c r="G681">
        <v>1</v>
      </c>
      <c r="H681" s="3">
        <v>1200</v>
      </c>
      <c r="I681" s="3">
        <v>1200</v>
      </c>
      <c r="J681" t="s">
        <v>76</v>
      </c>
      <c r="K681" t="s">
        <v>77</v>
      </c>
      <c r="L681" t="str">
        <f t="shared" si="10"/>
        <v>Friday</v>
      </c>
    </row>
    <row r="682" spans="1:12" ht="14.25" customHeight="1" x14ac:dyDescent="0.45">
      <c r="A682" t="s">
        <v>339</v>
      </c>
      <c r="B682" s="2" t="s">
        <v>111</v>
      </c>
      <c r="C682" t="s">
        <v>100</v>
      </c>
      <c r="D682" t="s">
        <v>196</v>
      </c>
      <c r="E682" t="s">
        <v>214</v>
      </c>
      <c r="F682" t="s">
        <v>123</v>
      </c>
      <c r="G682">
        <v>1</v>
      </c>
      <c r="H682" s="3">
        <v>15670</v>
      </c>
      <c r="I682" s="3">
        <v>15670</v>
      </c>
      <c r="J682" t="s">
        <v>76</v>
      </c>
      <c r="K682" t="s">
        <v>93</v>
      </c>
      <c r="L682" t="str">
        <f t="shared" si="10"/>
        <v>Monday</v>
      </c>
    </row>
    <row r="683" spans="1:12" ht="14.25" customHeight="1" x14ac:dyDescent="0.45">
      <c r="A683" t="s">
        <v>1208</v>
      </c>
      <c r="B683" s="2" t="s">
        <v>502</v>
      </c>
      <c r="C683" t="s">
        <v>100</v>
      </c>
      <c r="D683" t="s">
        <v>472</v>
      </c>
      <c r="E683" t="s">
        <v>557</v>
      </c>
      <c r="F683" t="s">
        <v>117</v>
      </c>
      <c r="G683">
        <v>1</v>
      </c>
      <c r="H683" s="3">
        <v>1190</v>
      </c>
      <c r="I683" s="3">
        <v>1190</v>
      </c>
      <c r="J683" t="s">
        <v>76</v>
      </c>
      <c r="K683" t="s">
        <v>77</v>
      </c>
      <c r="L683" t="str">
        <f t="shared" si="10"/>
        <v>Sunday</v>
      </c>
    </row>
    <row r="684" spans="1:12" ht="14.25" customHeight="1" x14ac:dyDescent="0.45">
      <c r="A684" t="s">
        <v>1232</v>
      </c>
      <c r="B684" s="2" t="s">
        <v>481</v>
      </c>
      <c r="C684" t="s">
        <v>89</v>
      </c>
      <c r="D684" t="s">
        <v>472</v>
      </c>
      <c r="E684" t="s">
        <v>691</v>
      </c>
      <c r="F684" t="s">
        <v>131</v>
      </c>
      <c r="G684">
        <v>1</v>
      </c>
      <c r="H684" s="3">
        <v>980</v>
      </c>
      <c r="I684" s="3">
        <v>980</v>
      </c>
      <c r="J684" t="s">
        <v>76</v>
      </c>
      <c r="K684" t="s">
        <v>77</v>
      </c>
      <c r="L684" t="str">
        <f t="shared" si="10"/>
        <v>Monday</v>
      </c>
    </row>
    <row r="685" spans="1:12" ht="14.25" customHeight="1" x14ac:dyDescent="0.45">
      <c r="A685" t="s">
        <v>1030</v>
      </c>
      <c r="B685" s="2" t="s">
        <v>200</v>
      </c>
      <c r="C685" t="s">
        <v>96</v>
      </c>
      <c r="D685" t="s">
        <v>472</v>
      </c>
      <c r="E685" t="s">
        <v>691</v>
      </c>
      <c r="F685" t="s">
        <v>97</v>
      </c>
      <c r="G685">
        <v>2</v>
      </c>
      <c r="H685" s="3">
        <v>950</v>
      </c>
      <c r="I685" s="3">
        <v>1900</v>
      </c>
      <c r="J685" t="s">
        <v>76</v>
      </c>
      <c r="K685" t="s">
        <v>93</v>
      </c>
      <c r="L685" t="str">
        <f t="shared" si="10"/>
        <v>Thursday</v>
      </c>
    </row>
    <row r="686" spans="1:12" ht="14.25" customHeight="1" x14ac:dyDescent="0.45">
      <c r="A686" t="s">
        <v>704</v>
      </c>
      <c r="B686" s="2" t="s">
        <v>106</v>
      </c>
      <c r="C686" t="s">
        <v>96</v>
      </c>
      <c r="D686" t="s">
        <v>334</v>
      </c>
      <c r="E686" t="s">
        <v>335</v>
      </c>
      <c r="F686" t="s">
        <v>81</v>
      </c>
      <c r="G686">
        <v>1</v>
      </c>
      <c r="H686" s="3">
        <v>3730</v>
      </c>
      <c r="I686" s="3">
        <v>3730</v>
      </c>
      <c r="J686" t="s">
        <v>76</v>
      </c>
      <c r="K686" t="s">
        <v>83</v>
      </c>
      <c r="L686" t="str">
        <f t="shared" si="10"/>
        <v>Friday</v>
      </c>
    </row>
    <row r="687" spans="1:12" ht="14.25" customHeight="1" x14ac:dyDescent="0.45">
      <c r="A687" t="s">
        <v>847</v>
      </c>
      <c r="B687" s="2" t="s">
        <v>88</v>
      </c>
      <c r="C687" t="s">
        <v>96</v>
      </c>
      <c r="D687" t="s">
        <v>73</v>
      </c>
      <c r="E687" t="s">
        <v>441</v>
      </c>
      <c r="F687" t="s">
        <v>117</v>
      </c>
      <c r="G687">
        <v>1</v>
      </c>
      <c r="H687" s="3">
        <v>2840</v>
      </c>
      <c r="I687" s="3">
        <v>2840</v>
      </c>
      <c r="J687" t="s">
        <v>82</v>
      </c>
      <c r="K687" t="s">
        <v>93</v>
      </c>
      <c r="L687" t="str">
        <f t="shared" si="10"/>
        <v>Wednesday</v>
      </c>
    </row>
    <row r="688" spans="1:12" ht="14.25" customHeight="1" x14ac:dyDescent="0.45">
      <c r="A688" t="s">
        <v>134</v>
      </c>
      <c r="B688" s="2" t="s">
        <v>135</v>
      </c>
      <c r="C688" t="s">
        <v>80</v>
      </c>
      <c r="D688" t="s">
        <v>73</v>
      </c>
      <c r="E688" t="s">
        <v>74</v>
      </c>
      <c r="F688" t="s">
        <v>86</v>
      </c>
      <c r="G688">
        <v>1</v>
      </c>
      <c r="H688" s="3">
        <v>98530</v>
      </c>
      <c r="I688" s="3">
        <v>98530</v>
      </c>
      <c r="J688" t="s">
        <v>82</v>
      </c>
      <c r="K688" t="s">
        <v>83</v>
      </c>
      <c r="L688" t="str">
        <f t="shared" si="10"/>
        <v>Saturday</v>
      </c>
    </row>
    <row r="689" spans="1:12" ht="14.25" customHeight="1" x14ac:dyDescent="0.45">
      <c r="A689" t="s">
        <v>604</v>
      </c>
      <c r="B689" s="2" t="s">
        <v>337</v>
      </c>
      <c r="C689" t="s">
        <v>96</v>
      </c>
      <c r="D689" t="s">
        <v>196</v>
      </c>
      <c r="E689" t="s">
        <v>300</v>
      </c>
      <c r="F689" t="s">
        <v>81</v>
      </c>
      <c r="G689">
        <v>1</v>
      </c>
      <c r="H689" s="3">
        <v>4410</v>
      </c>
      <c r="I689" s="3">
        <v>4410</v>
      </c>
      <c r="J689" t="s">
        <v>82</v>
      </c>
      <c r="K689" t="s">
        <v>83</v>
      </c>
      <c r="L689" t="str">
        <f t="shared" si="10"/>
        <v>Monday</v>
      </c>
    </row>
    <row r="690" spans="1:12" ht="14.25" customHeight="1" x14ac:dyDescent="0.45">
      <c r="A690" t="s">
        <v>850</v>
      </c>
      <c r="B690" s="2" t="s">
        <v>237</v>
      </c>
      <c r="C690" t="s">
        <v>72</v>
      </c>
      <c r="D690" t="s">
        <v>73</v>
      </c>
      <c r="E690" t="s">
        <v>441</v>
      </c>
      <c r="F690" t="s">
        <v>123</v>
      </c>
      <c r="G690">
        <v>1</v>
      </c>
      <c r="H690" s="3">
        <v>2830</v>
      </c>
      <c r="I690" s="3">
        <v>2830</v>
      </c>
      <c r="J690" t="s">
        <v>76</v>
      </c>
      <c r="K690" t="s">
        <v>83</v>
      </c>
      <c r="L690" t="str">
        <f t="shared" si="10"/>
        <v>Friday</v>
      </c>
    </row>
    <row r="691" spans="1:12" ht="14.25" customHeight="1" x14ac:dyDescent="0.45">
      <c r="A691" t="s">
        <v>187</v>
      </c>
      <c r="B691" s="2" t="s">
        <v>188</v>
      </c>
      <c r="C691" t="s">
        <v>96</v>
      </c>
      <c r="D691" t="s">
        <v>73</v>
      </c>
      <c r="E691" t="s">
        <v>104</v>
      </c>
      <c r="F691" t="s">
        <v>117</v>
      </c>
      <c r="G691">
        <v>1</v>
      </c>
      <c r="H691" s="3">
        <v>56140</v>
      </c>
      <c r="I691" s="3">
        <v>56140</v>
      </c>
      <c r="J691" t="s">
        <v>82</v>
      </c>
      <c r="K691" t="s">
        <v>77</v>
      </c>
      <c r="L691" t="str">
        <f t="shared" si="10"/>
        <v>Saturday</v>
      </c>
    </row>
    <row r="692" spans="1:12" ht="14.25" customHeight="1" x14ac:dyDescent="0.45">
      <c r="A692" t="s">
        <v>600</v>
      </c>
      <c r="B692" s="2" t="s">
        <v>278</v>
      </c>
      <c r="C692" t="s">
        <v>89</v>
      </c>
      <c r="D692" t="s">
        <v>196</v>
      </c>
      <c r="E692" t="s">
        <v>300</v>
      </c>
      <c r="F692" t="s">
        <v>90</v>
      </c>
      <c r="G692">
        <v>1</v>
      </c>
      <c r="H692" s="3">
        <v>4430</v>
      </c>
      <c r="I692" s="3">
        <v>4430</v>
      </c>
      <c r="J692" t="s">
        <v>76</v>
      </c>
      <c r="K692" t="s">
        <v>83</v>
      </c>
      <c r="L692" t="str">
        <f t="shared" si="10"/>
        <v>Wednesday</v>
      </c>
    </row>
    <row r="693" spans="1:12" ht="14.25" customHeight="1" x14ac:dyDescent="0.45">
      <c r="A693" t="s">
        <v>912</v>
      </c>
      <c r="B693" s="2" t="s">
        <v>591</v>
      </c>
      <c r="C693" t="s">
        <v>96</v>
      </c>
      <c r="D693" t="s">
        <v>472</v>
      </c>
      <c r="E693" t="s">
        <v>557</v>
      </c>
      <c r="F693" t="s">
        <v>117</v>
      </c>
      <c r="G693">
        <v>2</v>
      </c>
      <c r="H693" s="3">
        <v>1220</v>
      </c>
      <c r="I693" s="3">
        <v>2440</v>
      </c>
      <c r="J693" t="s">
        <v>82</v>
      </c>
      <c r="K693" t="s">
        <v>83</v>
      </c>
      <c r="L693" t="str">
        <f t="shared" si="10"/>
        <v>Tuesday</v>
      </c>
    </row>
    <row r="694" spans="1:12" ht="14.25" customHeight="1" x14ac:dyDescent="0.45">
      <c r="A694" t="s">
        <v>822</v>
      </c>
      <c r="B694" s="2" t="s">
        <v>617</v>
      </c>
      <c r="C694" t="s">
        <v>89</v>
      </c>
      <c r="D694" t="s">
        <v>334</v>
      </c>
      <c r="E694" t="s">
        <v>515</v>
      </c>
      <c r="F694" t="s">
        <v>117</v>
      </c>
      <c r="G694">
        <v>2</v>
      </c>
      <c r="H694" s="3">
        <v>1540</v>
      </c>
      <c r="I694" s="3">
        <v>3080</v>
      </c>
      <c r="J694" t="s">
        <v>76</v>
      </c>
      <c r="K694" t="s">
        <v>77</v>
      </c>
      <c r="L694" t="str">
        <f t="shared" si="10"/>
        <v>Thursday</v>
      </c>
    </row>
    <row r="695" spans="1:12" ht="14.25" customHeight="1" x14ac:dyDescent="0.45">
      <c r="A695" t="s">
        <v>884</v>
      </c>
      <c r="B695" s="2" t="s">
        <v>445</v>
      </c>
      <c r="C695" t="s">
        <v>89</v>
      </c>
      <c r="D695" t="s">
        <v>398</v>
      </c>
      <c r="E695" t="s">
        <v>464</v>
      </c>
      <c r="F695" t="s">
        <v>117</v>
      </c>
      <c r="G695">
        <v>1</v>
      </c>
      <c r="H695" s="3">
        <v>2570</v>
      </c>
      <c r="I695" s="3">
        <v>2570</v>
      </c>
      <c r="J695" t="s">
        <v>82</v>
      </c>
      <c r="K695" t="s">
        <v>83</v>
      </c>
      <c r="L695" t="str">
        <f t="shared" si="10"/>
        <v>Tuesday</v>
      </c>
    </row>
    <row r="696" spans="1:12" ht="14.25" customHeight="1" x14ac:dyDescent="0.45">
      <c r="A696" t="s">
        <v>608</v>
      </c>
      <c r="B696" s="2" t="s">
        <v>401</v>
      </c>
      <c r="C696" t="s">
        <v>89</v>
      </c>
      <c r="D696" t="s">
        <v>196</v>
      </c>
      <c r="E696" t="s">
        <v>300</v>
      </c>
      <c r="F696" t="s">
        <v>107</v>
      </c>
      <c r="G696">
        <v>1</v>
      </c>
      <c r="H696" s="3">
        <v>4390</v>
      </c>
      <c r="I696" s="3">
        <v>4390</v>
      </c>
      <c r="J696" t="s">
        <v>82</v>
      </c>
      <c r="K696" t="s">
        <v>93</v>
      </c>
      <c r="L696" t="str">
        <f t="shared" si="10"/>
        <v>Monday</v>
      </c>
    </row>
    <row r="697" spans="1:12" ht="14.25" customHeight="1" x14ac:dyDescent="0.45">
      <c r="A697" t="s">
        <v>755</v>
      </c>
      <c r="B697" s="2" t="s">
        <v>670</v>
      </c>
      <c r="C697" t="s">
        <v>80</v>
      </c>
      <c r="D697" t="s">
        <v>398</v>
      </c>
      <c r="E697" t="s">
        <v>399</v>
      </c>
      <c r="F697" t="s">
        <v>107</v>
      </c>
      <c r="G697">
        <v>1</v>
      </c>
      <c r="H697" s="3">
        <v>3240</v>
      </c>
      <c r="I697" s="3">
        <v>3240</v>
      </c>
      <c r="J697" t="s">
        <v>76</v>
      </c>
      <c r="K697" t="s">
        <v>83</v>
      </c>
      <c r="L697" t="str">
        <f t="shared" si="10"/>
        <v>Monday</v>
      </c>
    </row>
    <row r="698" spans="1:12" ht="14.25" customHeight="1" x14ac:dyDescent="0.45">
      <c r="A698" t="s">
        <v>328</v>
      </c>
      <c r="B698" s="2" t="s">
        <v>329</v>
      </c>
      <c r="C698" t="s">
        <v>100</v>
      </c>
      <c r="D698" t="s">
        <v>196</v>
      </c>
      <c r="E698" t="s">
        <v>214</v>
      </c>
      <c r="F698" t="s">
        <v>131</v>
      </c>
      <c r="G698">
        <v>1</v>
      </c>
      <c r="H698" s="3">
        <v>15790</v>
      </c>
      <c r="I698" s="3">
        <v>15790</v>
      </c>
      <c r="J698" t="s">
        <v>76</v>
      </c>
      <c r="K698" t="s">
        <v>93</v>
      </c>
      <c r="L698" t="str">
        <f t="shared" si="10"/>
        <v>Monday</v>
      </c>
    </row>
    <row r="699" spans="1:12" ht="14.25" customHeight="1" x14ac:dyDescent="0.45">
      <c r="A699" t="s">
        <v>471</v>
      </c>
      <c r="B699" s="2" t="s">
        <v>298</v>
      </c>
      <c r="C699" t="s">
        <v>96</v>
      </c>
      <c r="D699" t="s">
        <v>472</v>
      </c>
      <c r="E699" t="s">
        <v>473</v>
      </c>
      <c r="F699" t="s">
        <v>90</v>
      </c>
      <c r="G699">
        <v>3</v>
      </c>
      <c r="H699" s="3">
        <v>2470</v>
      </c>
      <c r="I699" s="3">
        <v>7410</v>
      </c>
      <c r="J699" t="s">
        <v>82</v>
      </c>
      <c r="K699" t="s">
        <v>83</v>
      </c>
      <c r="L699" t="str">
        <f t="shared" si="10"/>
        <v>Friday</v>
      </c>
    </row>
    <row r="700" spans="1:12" ht="14.25" customHeight="1" x14ac:dyDescent="0.45">
      <c r="A700" t="s">
        <v>679</v>
      </c>
      <c r="B700" s="2" t="s">
        <v>365</v>
      </c>
      <c r="C700" t="s">
        <v>100</v>
      </c>
      <c r="D700" t="s">
        <v>334</v>
      </c>
      <c r="E700" t="s">
        <v>335</v>
      </c>
      <c r="F700" t="s">
        <v>107</v>
      </c>
      <c r="G700">
        <v>1</v>
      </c>
      <c r="H700" s="3">
        <v>3930</v>
      </c>
      <c r="I700" s="3">
        <v>3930</v>
      </c>
      <c r="J700" t="s">
        <v>82</v>
      </c>
      <c r="K700" t="s">
        <v>83</v>
      </c>
      <c r="L700" t="str">
        <f t="shared" si="10"/>
        <v>Friday</v>
      </c>
    </row>
    <row r="701" spans="1:12" ht="14.25" customHeight="1" x14ac:dyDescent="0.45">
      <c r="A701" t="s">
        <v>250</v>
      </c>
      <c r="B701" s="2" t="s">
        <v>251</v>
      </c>
      <c r="C701" t="s">
        <v>96</v>
      </c>
      <c r="D701" t="s">
        <v>196</v>
      </c>
      <c r="E701" t="s">
        <v>197</v>
      </c>
      <c r="F701" t="s">
        <v>81</v>
      </c>
      <c r="G701">
        <v>2</v>
      </c>
      <c r="H701" s="3">
        <v>18750</v>
      </c>
      <c r="I701" s="3">
        <v>37500</v>
      </c>
      <c r="J701" t="s">
        <v>82</v>
      </c>
      <c r="K701" t="s">
        <v>93</v>
      </c>
      <c r="L701" t="str">
        <f t="shared" si="10"/>
        <v>Friday</v>
      </c>
    </row>
    <row r="702" spans="1:12" ht="14.25" customHeight="1" x14ac:dyDescent="0.45">
      <c r="A702" t="s">
        <v>1221</v>
      </c>
      <c r="B702" s="2" t="s">
        <v>412</v>
      </c>
      <c r="C702" t="s">
        <v>80</v>
      </c>
      <c r="D702" t="s">
        <v>472</v>
      </c>
      <c r="E702" t="s">
        <v>557</v>
      </c>
      <c r="F702" t="s">
        <v>107</v>
      </c>
      <c r="G702">
        <v>1</v>
      </c>
      <c r="H702" s="3">
        <v>1160</v>
      </c>
      <c r="I702" s="3">
        <v>1160</v>
      </c>
      <c r="J702" t="s">
        <v>82</v>
      </c>
      <c r="K702" t="s">
        <v>77</v>
      </c>
      <c r="L702" t="str">
        <f t="shared" si="10"/>
        <v>Wednesday</v>
      </c>
    </row>
    <row r="703" spans="1:12" ht="14.25" customHeight="1" x14ac:dyDescent="0.45">
      <c r="A703" t="s">
        <v>961</v>
      </c>
      <c r="B703" s="2" t="s">
        <v>256</v>
      </c>
      <c r="C703" t="s">
        <v>89</v>
      </c>
      <c r="D703" t="s">
        <v>398</v>
      </c>
      <c r="E703" t="s">
        <v>448</v>
      </c>
      <c r="F703" t="s">
        <v>140</v>
      </c>
      <c r="G703">
        <v>1</v>
      </c>
      <c r="H703" s="3">
        <v>2220</v>
      </c>
      <c r="I703" s="3">
        <v>2220</v>
      </c>
      <c r="J703" t="s">
        <v>82</v>
      </c>
      <c r="K703" t="s">
        <v>93</v>
      </c>
      <c r="L703" t="str">
        <f t="shared" si="10"/>
        <v>Tuesday</v>
      </c>
    </row>
    <row r="704" spans="1:12" ht="14.25" customHeight="1" x14ac:dyDescent="0.45">
      <c r="A704" t="s">
        <v>415</v>
      </c>
      <c r="B704" s="2" t="s">
        <v>416</v>
      </c>
      <c r="C704" t="s">
        <v>96</v>
      </c>
      <c r="D704" t="s">
        <v>73</v>
      </c>
      <c r="E704" t="s">
        <v>211</v>
      </c>
      <c r="F704" t="s">
        <v>131</v>
      </c>
      <c r="G704">
        <v>1</v>
      </c>
      <c r="H704" s="3">
        <v>12080</v>
      </c>
      <c r="I704" s="3">
        <v>12080</v>
      </c>
      <c r="J704" t="s">
        <v>76</v>
      </c>
      <c r="K704" t="s">
        <v>83</v>
      </c>
      <c r="L704" t="str">
        <f t="shared" si="10"/>
        <v>Tuesday</v>
      </c>
    </row>
    <row r="705" spans="1:12" ht="14.25" customHeight="1" x14ac:dyDescent="0.45">
      <c r="A705" t="s">
        <v>321</v>
      </c>
      <c r="B705" s="2" t="s">
        <v>225</v>
      </c>
      <c r="C705" t="s">
        <v>100</v>
      </c>
      <c r="D705" t="s">
        <v>196</v>
      </c>
      <c r="E705" t="s">
        <v>197</v>
      </c>
      <c r="F705" t="s">
        <v>117</v>
      </c>
      <c r="G705">
        <v>1</v>
      </c>
      <c r="H705" s="3">
        <v>17900</v>
      </c>
      <c r="I705" s="3">
        <v>17900</v>
      </c>
      <c r="J705" t="s">
        <v>82</v>
      </c>
      <c r="K705" t="s">
        <v>83</v>
      </c>
      <c r="L705" t="str">
        <f t="shared" si="10"/>
        <v>Sunday</v>
      </c>
    </row>
    <row r="706" spans="1:12" ht="14.25" customHeight="1" x14ac:dyDescent="0.45">
      <c r="A706" t="s">
        <v>132</v>
      </c>
      <c r="B706" s="2" t="s">
        <v>133</v>
      </c>
      <c r="C706" t="s">
        <v>100</v>
      </c>
      <c r="D706" t="s">
        <v>73</v>
      </c>
      <c r="E706" t="s">
        <v>104</v>
      </c>
      <c r="F706" t="s">
        <v>123</v>
      </c>
      <c r="G706">
        <v>2</v>
      </c>
      <c r="H706" s="3">
        <v>52910</v>
      </c>
      <c r="I706" s="3">
        <v>105820</v>
      </c>
      <c r="J706" t="s">
        <v>76</v>
      </c>
      <c r="K706" t="s">
        <v>93</v>
      </c>
      <c r="L706" t="str">
        <f t="shared" ref="L706:L769" si="11">TEXT(B706,"dddd")</f>
        <v>Wednesday</v>
      </c>
    </row>
    <row r="707" spans="1:12" ht="14.25" customHeight="1" x14ac:dyDescent="0.45">
      <c r="A707" t="s">
        <v>962</v>
      </c>
      <c r="B707" s="2" t="s">
        <v>950</v>
      </c>
      <c r="C707" t="s">
        <v>96</v>
      </c>
      <c r="D707" t="s">
        <v>398</v>
      </c>
      <c r="E707" t="s">
        <v>448</v>
      </c>
      <c r="F707" t="s">
        <v>117</v>
      </c>
      <c r="G707">
        <v>1</v>
      </c>
      <c r="H707" s="3">
        <v>2220</v>
      </c>
      <c r="I707" s="3">
        <v>2220</v>
      </c>
      <c r="J707" t="s">
        <v>76</v>
      </c>
      <c r="K707" t="s">
        <v>77</v>
      </c>
      <c r="L707" t="str">
        <f t="shared" si="11"/>
        <v>Saturday</v>
      </c>
    </row>
    <row r="708" spans="1:12" ht="14.25" customHeight="1" x14ac:dyDescent="0.45">
      <c r="A708" t="s">
        <v>993</v>
      </c>
      <c r="B708" s="2" t="s">
        <v>352</v>
      </c>
      <c r="C708" t="s">
        <v>96</v>
      </c>
      <c r="D708" t="s">
        <v>398</v>
      </c>
      <c r="E708" t="s">
        <v>448</v>
      </c>
      <c r="F708" t="s">
        <v>107</v>
      </c>
      <c r="G708">
        <v>1</v>
      </c>
      <c r="H708" s="3">
        <v>2120</v>
      </c>
      <c r="I708" s="3">
        <v>2120</v>
      </c>
      <c r="J708" t="s">
        <v>82</v>
      </c>
      <c r="K708" t="s">
        <v>93</v>
      </c>
      <c r="L708" t="str">
        <f t="shared" si="11"/>
        <v>Saturday</v>
      </c>
    </row>
    <row r="709" spans="1:12" ht="14.25" customHeight="1" x14ac:dyDescent="0.45">
      <c r="A709" t="s">
        <v>480</v>
      </c>
      <c r="B709" s="2" t="s">
        <v>481</v>
      </c>
      <c r="C709" t="s">
        <v>72</v>
      </c>
      <c r="D709" t="s">
        <v>73</v>
      </c>
      <c r="E709" t="s">
        <v>443</v>
      </c>
      <c r="F709" t="s">
        <v>86</v>
      </c>
      <c r="G709">
        <v>2</v>
      </c>
      <c r="H709" s="3">
        <v>3550</v>
      </c>
      <c r="I709" s="3">
        <v>7100</v>
      </c>
      <c r="J709" t="s">
        <v>76</v>
      </c>
      <c r="K709" t="s">
        <v>83</v>
      </c>
      <c r="L709" t="str">
        <f t="shared" si="11"/>
        <v>Monday</v>
      </c>
    </row>
    <row r="710" spans="1:12" ht="14.25" customHeight="1" x14ac:dyDescent="0.45">
      <c r="A710" t="s">
        <v>1077</v>
      </c>
      <c r="B710" s="2" t="s">
        <v>919</v>
      </c>
      <c r="C710" t="s">
        <v>89</v>
      </c>
      <c r="D710" t="s">
        <v>398</v>
      </c>
      <c r="E710" t="s">
        <v>475</v>
      </c>
      <c r="F710" t="s">
        <v>123</v>
      </c>
      <c r="G710">
        <v>1</v>
      </c>
      <c r="H710" s="3">
        <v>1800</v>
      </c>
      <c r="I710" s="3">
        <v>1800</v>
      </c>
      <c r="J710" t="s">
        <v>76</v>
      </c>
      <c r="K710" t="s">
        <v>83</v>
      </c>
      <c r="L710" t="str">
        <f t="shared" si="11"/>
        <v>Saturday</v>
      </c>
    </row>
    <row r="711" spans="1:12" ht="14.25" customHeight="1" x14ac:dyDescent="0.45">
      <c r="A711" t="s">
        <v>879</v>
      </c>
      <c r="B711" s="2" t="s">
        <v>278</v>
      </c>
      <c r="C711" t="s">
        <v>96</v>
      </c>
      <c r="D711" t="s">
        <v>398</v>
      </c>
      <c r="E711" t="s">
        <v>464</v>
      </c>
      <c r="F711" t="s">
        <v>107</v>
      </c>
      <c r="G711">
        <v>1</v>
      </c>
      <c r="H711" s="3">
        <v>2600</v>
      </c>
      <c r="I711" s="3">
        <v>2600</v>
      </c>
      <c r="J711" t="s">
        <v>82</v>
      </c>
      <c r="K711" t="s">
        <v>77</v>
      </c>
      <c r="L711" t="str">
        <f t="shared" si="11"/>
        <v>Wednesday</v>
      </c>
    </row>
    <row r="712" spans="1:12" ht="14.25" customHeight="1" x14ac:dyDescent="0.45">
      <c r="A712" t="s">
        <v>641</v>
      </c>
      <c r="B712" s="2" t="s">
        <v>79</v>
      </c>
      <c r="C712" t="s">
        <v>96</v>
      </c>
      <c r="D712" t="s">
        <v>334</v>
      </c>
      <c r="E712" t="s">
        <v>402</v>
      </c>
      <c r="F712" t="s">
        <v>107</v>
      </c>
      <c r="G712">
        <v>1</v>
      </c>
      <c r="H712" s="3">
        <v>4240</v>
      </c>
      <c r="I712" s="3">
        <v>4240</v>
      </c>
      <c r="J712" t="s">
        <v>76</v>
      </c>
      <c r="K712" t="s">
        <v>77</v>
      </c>
      <c r="L712" t="str">
        <f t="shared" si="11"/>
        <v>Thursday</v>
      </c>
    </row>
    <row r="713" spans="1:12" ht="14.25" customHeight="1" x14ac:dyDescent="0.45">
      <c r="A713" t="s">
        <v>1182</v>
      </c>
      <c r="B713" s="2" t="s">
        <v>817</v>
      </c>
      <c r="C713" t="s">
        <v>72</v>
      </c>
      <c r="D713" t="s">
        <v>472</v>
      </c>
      <c r="E713" t="s">
        <v>557</v>
      </c>
      <c r="F713" t="s">
        <v>117</v>
      </c>
      <c r="G713">
        <v>1</v>
      </c>
      <c r="H713" s="3">
        <v>1230</v>
      </c>
      <c r="I713" s="3">
        <v>1230</v>
      </c>
      <c r="J713" t="s">
        <v>76</v>
      </c>
      <c r="K713" t="s">
        <v>77</v>
      </c>
      <c r="L713" t="str">
        <f t="shared" si="11"/>
        <v>Saturday</v>
      </c>
    </row>
    <row r="714" spans="1:12" ht="14.25" customHeight="1" x14ac:dyDescent="0.45">
      <c r="A714" t="s">
        <v>1167</v>
      </c>
      <c r="B714" s="2" t="s">
        <v>109</v>
      </c>
      <c r="C714" t="s">
        <v>96</v>
      </c>
      <c r="D714" t="s">
        <v>334</v>
      </c>
      <c r="E714" t="s">
        <v>515</v>
      </c>
      <c r="F714" t="s">
        <v>81</v>
      </c>
      <c r="G714">
        <v>1</v>
      </c>
      <c r="H714" s="3">
        <v>1450</v>
      </c>
      <c r="I714" s="3">
        <v>1450</v>
      </c>
      <c r="J714" t="s">
        <v>82</v>
      </c>
      <c r="K714" t="s">
        <v>83</v>
      </c>
      <c r="L714" t="str">
        <f t="shared" si="11"/>
        <v>Saturday</v>
      </c>
    </row>
    <row r="715" spans="1:12" ht="14.25" customHeight="1" x14ac:dyDescent="0.45">
      <c r="A715" t="s">
        <v>1031</v>
      </c>
      <c r="B715" s="2" t="s">
        <v>231</v>
      </c>
      <c r="C715" t="s">
        <v>96</v>
      </c>
      <c r="D715" t="s">
        <v>334</v>
      </c>
      <c r="E715" t="s">
        <v>527</v>
      </c>
      <c r="F715" t="s">
        <v>131</v>
      </c>
      <c r="G715">
        <v>1</v>
      </c>
      <c r="H715" s="3">
        <v>1900</v>
      </c>
      <c r="I715" s="3">
        <v>1900</v>
      </c>
      <c r="J715" t="s">
        <v>76</v>
      </c>
      <c r="K715" t="s">
        <v>93</v>
      </c>
      <c r="L715" t="str">
        <f t="shared" si="11"/>
        <v>Wednesday</v>
      </c>
    </row>
    <row r="716" spans="1:12" ht="14.25" customHeight="1" x14ac:dyDescent="0.45">
      <c r="A716" t="s">
        <v>982</v>
      </c>
      <c r="B716" s="2" t="s">
        <v>127</v>
      </c>
      <c r="C716" t="s">
        <v>72</v>
      </c>
      <c r="D716" t="s">
        <v>398</v>
      </c>
      <c r="E716" t="s">
        <v>448</v>
      </c>
      <c r="F716" t="s">
        <v>86</v>
      </c>
      <c r="G716">
        <v>1</v>
      </c>
      <c r="H716" s="3">
        <v>2160</v>
      </c>
      <c r="I716" s="3">
        <v>2160</v>
      </c>
      <c r="J716" t="s">
        <v>76</v>
      </c>
      <c r="K716" t="s">
        <v>77</v>
      </c>
      <c r="L716" t="str">
        <f t="shared" si="11"/>
        <v>Saturday</v>
      </c>
    </row>
    <row r="717" spans="1:12" ht="14.25" customHeight="1" x14ac:dyDescent="0.45">
      <c r="A717" t="s">
        <v>954</v>
      </c>
      <c r="B717" s="2" t="s">
        <v>583</v>
      </c>
      <c r="C717" t="s">
        <v>96</v>
      </c>
      <c r="D717" t="s">
        <v>398</v>
      </c>
      <c r="E717" t="s">
        <v>448</v>
      </c>
      <c r="F717" t="s">
        <v>97</v>
      </c>
      <c r="G717">
        <v>1</v>
      </c>
      <c r="H717" s="3">
        <v>2260</v>
      </c>
      <c r="I717" s="3">
        <v>2260</v>
      </c>
      <c r="J717" t="s">
        <v>76</v>
      </c>
      <c r="K717" t="s">
        <v>93</v>
      </c>
      <c r="L717" t="str">
        <f t="shared" si="11"/>
        <v>Wednesday</v>
      </c>
    </row>
    <row r="718" spans="1:12" ht="14.25" customHeight="1" x14ac:dyDescent="0.45">
      <c r="A718" t="s">
        <v>528</v>
      </c>
      <c r="B718" s="2" t="s">
        <v>329</v>
      </c>
      <c r="C718" t="s">
        <v>96</v>
      </c>
      <c r="D718" t="s">
        <v>73</v>
      </c>
      <c r="E718" t="s">
        <v>441</v>
      </c>
      <c r="F718" t="s">
        <v>75</v>
      </c>
      <c r="G718">
        <v>2</v>
      </c>
      <c r="H718" s="3">
        <v>2850</v>
      </c>
      <c r="I718" s="3">
        <v>5700</v>
      </c>
      <c r="J718" t="s">
        <v>76</v>
      </c>
      <c r="K718" t="s">
        <v>83</v>
      </c>
      <c r="L718" t="str">
        <f t="shared" si="11"/>
        <v>Monday</v>
      </c>
    </row>
    <row r="719" spans="1:12" ht="14.25" customHeight="1" x14ac:dyDescent="0.45">
      <c r="A719" t="s">
        <v>338</v>
      </c>
      <c r="B719" s="2" t="s">
        <v>206</v>
      </c>
      <c r="C719" t="s">
        <v>96</v>
      </c>
      <c r="D719" t="s">
        <v>196</v>
      </c>
      <c r="E719" t="s">
        <v>214</v>
      </c>
      <c r="F719" t="s">
        <v>75</v>
      </c>
      <c r="G719">
        <v>1</v>
      </c>
      <c r="H719" s="3">
        <v>15690</v>
      </c>
      <c r="I719" s="3">
        <v>15690</v>
      </c>
      <c r="J719" t="s">
        <v>82</v>
      </c>
      <c r="K719" t="s">
        <v>83</v>
      </c>
      <c r="L719" t="str">
        <f t="shared" si="11"/>
        <v>Wednesday</v>
      </c>
    </row>
    <row r="720" spans="1:12" ht="14.25" customHeight="1" x14ac:dyDescent="0.45">
      <c r="A720" t="s">
        <v>831</v>
      </c>
      <c r="B720" s="2" t="s">
        <v>376</v>
      </c>
      <c r="C720" t="s">
        <v>80</v>
      </c>
      <c r="D720" t="s">
        <v>472</v>
      </c>
      <c r="E720" t="s">
        <v>497</v>
      </c>
      <c r="F720" t="s">
        <v>86</v>
      </c>
      <c r="G720">
        <v>1</v>
      </c>
      <c r="H720" s="3">
        <v>3040</v>
      </c>
      <c r="I720" s="3">
        <v>3040</v>
      </c>
      <c r="J720" t="s">
        <v>76</v>
      </c>
      <c r="K720" t="s">
        <v>83</v>
      </c>
      <c r="L720" t="str">
        <f t="shared" si="11"/>
        <v>Friday</v>
      </c>
    </row>
    <row r="721" spans="1:12" ht="14.25" customHeight="1" x14ac:dyDescent="0.45">
      <c r="A721" t="s">
        <v>1239</v>
      </c>
      <c r="B721" s="2" t="s">
        <v>324</v>
      </c>
      <c r="C721" t="s">
        <v>100</v>
      </c>
      <c r="D721" t="s">
        <v>472</v>
      </c>
      <c r="E721" t="s">
        <v>691</v>
      </c>
      <c r="F721" t="s">
        <v>90</v>
      </c>
      <c r="G721">
        <v>1</v>
      </c>
      <c r="H721" s="3">
        <v>960</v>
      </c>
      <c r="I721" s="3">
        <v>960</v>
      </c>
      <c r="J721" t="s">
        <v>76</v>
      </c>
      <c r="K721" t="s">
        <v>77</v>
      </c>
      <c r="L721" t="str">
        <f t="shared" si="11"/>
        <v>Sunday</v>
      </c>
    </row>
    <row r="722" spans="1:12" ht="14.25" customHeight="1" x14ac:dyDescent="0.45">
      <c r="A722" t="s">
        <v>434</v>
      </c>
      <c r="B722" s="2" t="s">
        <v>103</v>
      </c>
      <c r="C722" t="s">
        <v>96</v>
      </c>
      <c r="D722" t="s">
        <v>73</v>
      </c>
      <c r="E722" t="s">
        <v>211</v>
      </c>
      <c r="F722" t="s">
        <v>90</v>
      </c>
      <c r="G722">
        <v>1</v>
      </c>
      <c r="H722" s="3">
        <v>11610</v>
      </c>
      <c r="I722" s="3">
        <v>11610</v>
      </c>
      <c r="J722" t="s">
        <v>76</v>
      </c>
      <c r="K722" t="s">
        <v>77</v>
      </c>
      <c r="L722" t="str">
        <f t="shared" si="11"/>
        <v>Thursday</v>
      </c>
    </row>
    <row r="723" spans="1:12" ht="14.25" customHeight="1" x14ac:dyDescent="0.45">
      <c r="A723" t="s">
        <v>290</v>
      </c>
      <c r="B723" s="2" t="s">
        <v>291</v>
      </c>
      <c r="C723" t="s">
        <v>80</v>
      </c>
      <c r="D723" t="s">
        <v>73</v>
      </c>
      <c r="E723" t="s">
        <v>211</v>
      </c>
      <c r="F723" t="s">
        <v>123</v>
      </c>
      <c r="G723">
        <v>2</v>
      </c>
      <c r="H723" s="3">
        <v>11530</v>
      </c>
      <c r="I723" s="3">
        <v>23060</v>
      </c>
      <c r="J723" t="s">
        <v>76</v>
      </c>
      <c r="K723" t="s">
        <v>93</v>
      </c>
      <c r="L723" t="str">
        <f t="shared" si="11"/>
        <v>Wednesday</v>
      </c>
    </row>
    <row r="724" spans="1:12" ht="14.25" customHeight="1" x14ac:dyDescent="0.45">
      <c r="A724" t="s">
        <v>718</v>
      </c>
      <c r="B724" s="2" t="s">
        <v>251</v>
      </c>
      <c r="C724" t="s">
        <v>72</v>
      </c>
      <c r="D724" t="s">
        <v>398</v>
      </c>
      <c r="E724" t="s">
        <v>475</v>
      </c>
      <c r="F724" t="s">
        <v>97</v>
      </c>
      <c r="G724">
        <v>2</v>
      </c>
      <c r="H724" s="3">
        <v>1830</v>
      </c>
      <c r="I724" s="3">
        <v>3660</v>
      </c>
      <c r="J724" t="s">
        <v>76</v>
      </c>
      <c r="K724" t="s">
        <v>83</v>
      </c>
      <c r="L724" t="str">
        <f t="shared" si="11"/>
        <v>Friday</v>
      </c>
    </row>
    <row r="725" spans="1:12" ht="14.25" customHeight="1" x14ac:dyDescent="0.45">
      <c r="A725" t="s">
        <v>1254</v>
      </c>
      <c r="B725" s="2" t="s">
        <v>204</v>
      </c>
      <c r="C725" t="s">
        <v>96</v>
      </c>
      <c r="D725" t="s">
        <v>472</v>
      </c>
      <c r="E725" t="s">
        <v>691</v>
      </c>
      <c r="F725" t="s">
        <v>117</v>
      </c>
      <c r="G725">
        <v>1</v>
      </c>
      <c r="H725" s="3">
        <v>920</v>
      </c>
      <c r="I725" s="3">
        <v>920</v>
      </c>
      <c r="J725" t="s">
        <v>76</v>
      </c>
      <c r="K725" t="s">
        <v>83</v>
      </c>
      <c r="L725" t="str">
        <f t="shared" si="11"/>
        <v>Monday</v>
      </c>
    </row>
    <row r="726" spans="1:12" ht="14.25" customHeight="1" x14ac:dyDescent="0.45">
      <c r="A726" t="s">
        <v>629</v>
      </c>
      <c r="B726" s="2" t="s">
        <v>517</v>
      </c>
      <c r="C726" t="s">
        <v>89</v>
      </c>
      <c r="D726" t="s">
        <v>334</v>
      </c>
      <c r="E726" t="s">
        <v>402</v>
      </c>
      <c r="F726" t="s">
        <v>97</v>
      </c>
      <c r="G726">
        <v>1</v>
      </c>
      <c r="H726" s="3">
        <v>4290</v>
      </c>
      <c r="I726" s="3">
        <v>4290</v>
      </c>
      <c r="J726" t="s">
        <v>76</v>
      </c>
      <c r="K726" t="s">
        <v>77</v>
      </c>
      <c r="L726" t="str">
        <f t="shared" si="11"/>
        <v>Wednesday</v>
      </c>
    </row>
    <row r="727" spans="1:12" ht="14.25" customHeight="1" x14ac:dyDescent="0.45">
      <c r="A727" t="s">
        <v>1091</v>
      </c>
      <c r="B727" s="2" t="s">
        <v>329</v>
      </c>
      <c r="C727" t="s">
        <v>96</v>
      </c>
      <c r="D727" t="s">
        <v>398</v>
      </c>
      <c r="E727" t="s">
        <v>475</v>
      </c>
      <c r="F727" t="s">
        <v>86</v>
      </c>
      <c r="G727">
        <v>1</v>
      </c>
      <c r="H727" s="3">
        <v>1750</v>
      </c>
      <c r="I727" s="3">
        <v>1750</v>
      </c>
      <c r="J727" t="s">
        <v>76</v>
      </c>
      <c r="K727" t="s">
        <v>93</v>
      </c>
      <c r="L727" t="str">
        <f t="shared" si="11"/>
        <v>Monday</v>
      </c>
    </row>
    <row r="728" spans="1:12" ht="14.25" customHeight="1" x14ac:dyDescent="0.45">
      <c r="A728" t="s">
        <v>465</v>
      </c>
      <c r="B728" s="2" t="s">
        <v>231</v>
      </c>
      <c r="C728" t="s">
        <v>80</v>
      </c>
      <c r="D728" t="s">
        <v>398</v>
      </c>
      <c r="E728" t="s">
        <v>464</v>
      </c>
      <c r="F728" t="s">
        <v>90</v>
      </c>
      <c r="G728">
        <v>3</v>
      </c>
      <c r="H728" s="3">
        <v>2650</v>
      </c>
      <c r="I728" s="3">
        <v>7950</v>
      </c>
      <c r="J728" t="s">
        <v>76</v>
      </c>
      <c r="K728" t="s">
        <v>77</v>
      </c>
      <c r="L728" t="str">
        <f t="shared" si="11"/>
        <v>Wednesday</v>
      </c>
    </row>
    <row r="729" spans="1:12" ht="14.25" customHeight="1" x14ac:dyDescent="0.45">
      <c r="A729" t="s">
        <v>184</v>
      </c>
      <c r="B729" s="2" t="s">
        <v>127</v>
      </c>
      <c r="C729" t="s">
        <v>89</v>
      </c>
      <c r="D729" t="s">
        <v>73</v>
      </c>
      <c r="E729" t="s">
        <v>104</v>
      </c>
      <c r="F729" t="s">
        <v>97</v>
      </c>
      <c r="G729">
        <v>1</v>
      </c>
      <c r="H729" s="3">
        <v>56750</v>
      </c>
      <c r="I729" s="3">
        <v>56750</v>
      </c>
      <c r="J729" t="s">
        <v>82</v>
      </c>
      <c r="K729" t="s">
        <v>83</v>
      </c>
      <c r="L729" t="str">
        <f t="shared" si="11"/>
        <v>Saturday</v>
      </c>
    </row>
    <row r="730" spans="1:12" ht="14.25" customHeight="1" x14ac:dyDescent="0.45">
      <c r="A730" t="s">
        <v>696</v>
      </c>
      <c r="B730" s="2" t="s">
        <v>183</v>
      </c>
      <c r="C730" t="s">
        <v>96</v>
      </c>
      <c r="D730" t="s">
        <v>334</v>
      </c>
      <c r="E730" t="s">
        <v>335</v>
      </c>
      <c r="F730" t="s">
        <v>123</v>
      </c>
      <c r="G730">
        <v>1</v>
      </c>
      <c r="H730" s="3">
        <v>3780</v>
      </c>
      <c r="I730" s="3">
        <v>3780</v>
      </c>
      <c r="J730" t="s">
        <v>82</v>
      </c>
      <c r="K730" t="s">
        <v>93</v>
      </c>
      <c r="L730" t="str">
        <f t="shared" si="11"/>
        <v>Sunday</v>
      </c>
    </row>
    <row r="731" spans="1:12" ht="14.25" customHeight="1" x14ac:dyDescent="0.45">
      <c r="A731" t="s">
        <v>655</v>
      </c>
      <c r="B731" s="2" t="s">
        <v>656</v>
      </c>
      <c r="C731" t="s">
        <v>96</v>
      </c>
      <c r="D731" t="s">
        <v>334</v>
      </c>
      <c r="E731" t="s">
        <v>402</v>
      </c>
      <c r="F731" t="s">
        <v>75</v>
      </c>
      <c r="G731">
        <v>1</v>
      </c>
      <c r="H731" s="3">
        <v>4180</v>
      </c>
      <c r="I731" s="3">
        <v>4180</v>
      </c>
      <c r="J731" t="s">
        <v>76</v>
      </c>
      <c r="K731" t="s">
        <v>83</v>
      </c>
      <c r="L731" t="str">
        <f t="shared" si="11"/>
        <v>Sunday</v>
      </c>
    </row>
    <row r="732" spans="1:12" ht="14.25" customHeight="1" x14ac:dyDescent="0.45">
      <c r="A732" t="s">
        <v>986</v>
      </c>
      <c r="B732" s="2" t="s">
        <v>583</v>
      </c>
      <c r="C732" t="s">
        <v>96</v>
      </c>
      <c r="D732" t="s">
        <v>398</v>
      </c>
      <c r="E732" t="s">
        <v>462</v>
      </c>
      <c r="F732" t="s">
        <v>81</v>
      </c>
      <c r="G732">
        <v>1</v>
      </c>
      <c r="H732" s="3">
        <v>2150</v>
      </c>
      <c r="I732" s="3">
        <v>2150</v>
      </c>
      <c r="J732" t="s">
        <v>76</v>
      </c>
      <c r="K732" t="s">
        <v>77</v>
      </c>
      <c r="L732" t="str">
        <f t="shared" si="11"/>
        <v>Wednesday</v>
      </c>
    </row>
    <row r="733" spans="1:12" ht="14.25" customHeight="1" x14ac:dyDescent="0.45">
      <c r="A733" t="s">
        <v>193</v>
      </c>
      <c r="B733" s="2" t="s">
        <v>194</v>
      </c>
      <c r="C733" t="s">
        <v>89</v>
      </c>
      <c r="D733" t="s">
        <v>73</v>
      </c>
      <c r="E733" t="s">
        <v>104</v>
      </c>
      <c r="F733" t="s">
        <v>97</v>
      </c>
      <c r="G733">
        <v>1</v>
      </c>
      <c r="H733" s="3">
        <v>55490</v>
      </c>
      <c r="I733" s="3">
        <v>55490</v>
      </c>
      <c r="J733" t="s">
        <v>76</v>
      </c>
      <c r="K733" t="s">
        <v>83</v>
      </c>
      <c r="L733" t="str">
        <f t="shared" si="11"/>
        <v>Wednesday</v>
      </c>
    </row>
    <row r="734" spans="1:12" ht="14.25" customHeight="1" x14ac:dyDescent="0.45">
      <c r="A734" t="s">
        <v>995</v>
      </c>
      <c r="B734" s="2" t="s">
        <v>843</v>
      </c>
      <c r="C734" t="s">
        <v>100</v>
      </c>
      <c r="D734" t="s">
        <v>398</v>
      </c>
      <c r="E734" t="s">
        <v>462</v>
      </c>
      <c r="F734" t="s">
        <v>131</v>
      </c>
      <c r="G734">
        <v>1</v>
      </c>
      <c r="H734" s="3">
        <v>2110</v>
      </c>
      <c r="I734" s="3">
        <v>2110</v>
      </c>
      <c r="J734" t="s">
        <v>76</v>
      </c>
      <c r="K734" t="s">
        <v>77</v>
      </c>
      <c r="L734" t="str">
        <f t="shared" si="11"/>
        <v>Sunday</v>
      </c>
    </row>
    <row r="735" spans="1:12" ht="14.25" customHeight="1" x14ac:dyDescent="0.45">
      <c r="A735" t="s">
        <v>1096</v>
      </c>
      <c r="B735" s="2" t="s">
        <v>166</v>
      </c>
      <c r="C735" t="s">
        <v>96</v>
      </c>
      <c r="D735" t="s">
        <v>398</v>
      </c>
      <c r="E735" t="s">
        <v>475</v>
      </c>
      <c r="F735" t="s">
        <v>140</v>
      </c>
      <c r="G735">
        <v>1</v>
      </c>
      <c r="H735" s="3">
        <v>1730</v>
      </c>
      <c r="I735" s="3">
        <v>1730</v>
      </c>
      <c r="J735" t="s">
        <v>76</v>
      </c>
      <c r="K735" t="s">
        <v>77</v>
      </c>
      <c r="L735" t="str">
        <f t="shared" si="11"/>
        <v>Friday</v>
      </c>
    </row>
    <row r="736" spans="1:12" ht="14.25" customHeight="1" x14ac:dyDescent="0.45">
      <c r="A736" t="s">
        <v>1157</v>
      </c>
      <c r="B736" s="2" t="s">
        <v>817</v>
      </c>
      <c r="C736" t="s">
        <v>96</v>
      </c>
      <c r="D736" t="s">
        <v>334</v>
      </c>
      <c r="E736" t="s">
        <v>515</v>
      </c>
      <c r="F736" t="s">
        <v>107</v>
      </c>
      <c r="G736">
        <v>1</v>
      </c>
      <c r="H736" s="3">
        <v>1480</v>
      </c>
      <c r="I736" s="3">
        <v>1480</v>
      </c>
      <c r="J736" t="s">
        <v>76</v>
      </c>
      <c r="K736" t="s">
        <v>83</v>
      </c>
      <c r="L736" t="str">
        <f t="shared" si="11"/>
        <v>Saturday</v>
      </c>
    </row>
    <row r="737" spans="1:12" ht="14.25" customHeight="1" x14ac:dyDescent="0.45">
      <c r="A737" t="s">
        <v>751</v>
      </c>
      <c r="B737" s="2" t="s">
        <v>591</v>
      </c>
      <c r="C737" t="s">
        <v>89</v>
      </c>
      <c r="D737" t="s">
        <v>398</v>
      </c>
      <c r="E737" t="s">
        <v>399</v>
      </c>
      <c r="F737" t="s">
        <v>117</v>
      </c>
      <c r="G737">
        <v>1</v>
      </c>
      <c r="H737" s="3">
        <v>3250</v>
      </c>
      <c r="I737" s="3">
        <v>3250</v>
      </c>
      <c r="J737" t="s">
        <v>76</v>
      </c>
      <c r="K737" t="s">
        <v>83</v>
      </c>
      <c r="L737" t="str">
        <f t="shared" si="11"/>
        <v>Tuesday</v>
      </c>
    </row>
    <row r="738" spans="1:12" ht="14.25" customHeight="1" x14ac:dyDescent="0.45">
      <c r="A738" t="s">
        <v>397</v>
      </c>
      <c r="B738" s="2" t="s">
        <v>142</v>
      </c>
      <c r="C738" t="s">
        <v>96</v>
      </c>
      <c r="D738" t="s">
        <v>398</v>
      </c>
      <c r="E738" t="s">
        <v>399</v>
      </c>
      <c r="F738" t="s">
        <v>131</v>
      </c>
      <c r="G738">
        <v>4</v>
      </c>
      <c r="H738" s="3">
        <v>3220</v>
      </c>
      <c r="I738" s="3">
        <v>12880</v>
      </c>
      <c r="J738" t="s">
        <v>76</v>
      </c>
      <c r="K738" t="s">
        <v>83</v>
      </c>
      <c r="L738" t="str">
        <f t="shared" si="11"/>
        <v>Friday</v>
      </c>
    </row>
    <row r="739" spans="1:12" ht="14.25" customHeight="1" x14ac:dyDescent="0.45">
      <c r="A739" t="s">
        <v>1195</v>
      </c>
      <c r="B739" s="2" t="s">
        <v>632</v>
      </c>
      <c r="C739" t="s">
        <v>100</v>
      </c>
      <c r="D739" t="s">
        <v>472</v>
      </c>
      <c r="E739" t="s">
        <v>557</v>
      </c>
      <c r="F739" t="s">
        <v>131</v>
      </c>
      <c r="G739">
        <v>1</v>
      </c>
      <c r="H739" s="3">
        <v>1210</v>
      </c>
      <c r="I739" s="3">
        <v>1210</v>
      </c>
      <c r="J739" t="s">
        <v>82</v>
      </c>
      <c r="K739" t="s">
        <v>83</v>
      </c>
      <c r="L739" t="str">
        <f t="shared" si="11"/>
        <v>Thursday</v>
      </c>
    </row>
    <row r="740" spans="1:12" ht="14.25" customHeight="1" x14ac:dyDescent="0.45">
      <c r="A740" t="s">
        <v>263</v>
      </c>
      <c r="B740" s="2" t="s">
        <v>264</v>
      </c>
      <c r="C740" t="s">
        <v>100</v>
      </c>
      <c r="D740" t="s">
        <v>196</v>
      </c>
      <c r="E740" t="s">
        <v>214</v>
      </c>
      <c r="F740" t="s">
        <v>97</v>
      </c>
      <c r="G740">
        <v>2</v>
      </c>
      <c r="H740" s="3">
        <v>15420</v>
      </c>
      <c r="I740" s="3">
        <v>30840</v>
      </c>
      <c r="J740" t="s">
        <v>82</v>
      </c>
      <c r="K740" t="s">
        <v>83</v>
      </c>
      <c r="L740" t="str">
        <f t="shared" si="11"/>
        <v>Monday</v>
      </c>
    </row>
    <row r="741" spans="1:12" ht="14.25" customHeight="1" x14ac:dyDescent="0.45">
      <c r="A741" t="s">
        <v>958</v>
      </c>
      <c r="B741" s="2" t="s">
        <v>162</v>
      </c>
      <c r="C741" t="s">
        <v>100</v>
      </c>
      <c r="D741" t="s">
        <v>398</v>
      </c>
      <c r="E741" t="s">
        <v>448</v>
      </c>
      <c r="F741" t="s">
        <v>90</v>
      </c>
      <c r="G741">
        <v>1</v>
      </c>
      <c r="H741" s="3">
        <v>2240</v>
      </c>
      <c r="I741" s="3">
        <v>2240</v>
      </c>
      <c r="J741" t="s">
        <v>82</v>
      </c>
      <c r="K741" t="s">
        <v>77</v>
      </c>
      <c r="L741" t="str">
        <f t="shared" si="11"/>
        <v>Sunday</v>
      </c>
    </row>
    <row r="742" spans="1:12" ht="14.25" customHeight="1" x14ac:dyDescent="0.45">
      <c r="A742" t="s">
        <v>1144</v>
      </c>
      <c r="B742" s="2" t="s">
        <v>695</v>
      </c>
      <c r="C742" t="s">
        <v>100</v>
      </c>
      <c r="D742" t="s">
        <v>334</v>
      </c>
      <c r="E742" t="s">
        <v>515</v>
      </c>
      <c r="F742" t="s">
        <v>140</v>
      </c>
      <c r="G742">
        <v>1</v>
      </c>
      <c r="H742" s="3">
        <v>1530</v>
      </c>
      <c r="I742" s="3">
        <v>1530</v>
      </c>
      <c r="J742" t="s">
        <v>76</v>
      </c>
      <c r="K742" t="s">
        <v>77</v>
      </c>
      <c r="L742" t="str">
        <f t="shared" si="11"/>
        <v>Tuesday</v>
      </c>
    </row>
    <row r="743" spans="1:12" ht="14.25" customHeight="1" x14ac:dyDescent="0.45">
      <c r="A743" t="s">
        <v>136</v>
      </c>
      <c r="B743" s="2" t="s">
        <v>137</v>
      </c>
      <c r="C743" t="s">
        <v>96</v>
      </c>
      <c r="D743" t="s">
        <v>73</v>
      </c>
      <c r="E743" t="s">
        <v>74</v>
      </c>
      <c r="F743" t="s">
        <v>117</v>
      </c>
      <c r="G743">
        <v>1</v>
      </c>
      <c r="H743" s="3">
        <v>98330</v>
      </c>
      <c r="I743" s="3">
        <v>98330</v>
      </c>
      <c r="J743" t="s">
        <v>76</v>
      </c>
      <c r="K743" t="s">
        <v>77</v>
      </c>
      <c r="L743" t="str">
        <f t="shared" si="11"/>
        <v>Monday</v>
      </c>
    </row>
    <row r="744" spans="1:12" ht="14.25" customHeight="1" x14ac:dyDescent="0.45">
      <c r="A744" t="s">
        <v>191</v>
      </c>
      <c r="B744" s="2" t="s">
        <v>192</v>
      </c>
      <c r="C744" t="s">
        <v>96</v>
      </c>
      <c r="D744" t="s">
        <v>73</v>
      </c>
      <c r="E744" t="s">
        <v>104</v>
      </c>
      <c r="F744" t="s">
        <v>81</v>
      </c>
      <c r="G744">
        <v>1</v>
      </c>
      <c r="H744" s="3">
        <v>55520</v>
      </c>
      <c r="I744" s="3">
        <v>55520</v>
      </c>
      <c r="J744" t="s">
        <v>76</v>
      </c>
      <c r="K744" t="s">
        <v>83</v>
      </c>
      <c r="L744" t="str">
        <f t="shared" si="11"/>
        <v>Saturday</v>
      </c>
    </row>
    <row r="745" spans="1:12" ht="14.25" customHeight="1" x14ac:dyDescent="0.45">
      <c r="A745" t="s">
        <v>809</v>
      </c>
      <c r="B745" s="2" t="s">
        <v>401</v>
      </c>
      <c r="C745" t="s">
        <v>100</v>
      </c>
      <c r="D745" t="s">
        <v>472</v>
      </c>
      <c r="E745" t="s">
        <v>500</v>
      </c>
      <c r="F745" t="s">
        <v>131</v>
      </c>
      <c r="G745">
        <v>2</v>
      </c>
      <c r="H745" s="3">
        <v>1550</v>
      </c>
      <c r="I745" s="3">
        <v>3100</v>
      </c>
      <c r="J745" t="s">
        <v>82</v>
      </c>
      <c r="K745" t="s">
        <v>93</v>
      </c>
      <c r="L745" t="str">
        <f t="shared" si="11"/>
        <v>Monday</v>
      </c>
    </row>
    <row r="746" spans="1:12" ht="14.25" customHeight="1" x14ac:dyDescent="0.45">
      <c r="A746" t="s">
        <v>1008</v>
      </c>
      <c r="B746" s="2" t="s">
        <v>352</v>
      </c>
      <c r="C746" t="s">
        <v>89</v>
      </c>
      <c r="D746" t="s">
        <v>398</v>
      </c>
      <c r="E746" t="s">
        <v>462</v>
      </c>
      <c r="F746" t="s">
        <v>90</v>
      </c>
      <c r="G746">
        <v>1</v>
      </c>
      <c r="H746" s="3">
        <v>2040</v>
      </c>
      <c r="I746" s="3">
        <v>2040</v>
      </c>
      <c r="J746" t="s">
        <v>76</v>
      </c>
      <c r="K746" t="s">
        <v>77</v>
      </c>
      <c r="L746" t="str">
        <f t="shared" si="11"/>
        <v>Saturday</v>
      </c>
    </row>
    <row r="747" spans="1:12" ht="14.25" customHeight="1" x14ac:dyDescent="0.45">
      <c r="A747" t="s">
        <v>1196</v>
      </c>
      <c r="B747" s="2" t="s">
        <v>607</v>
      </c>
      <c r="C747" t="s">
        <v>100</v>
      </c>
      <c r="D747" t="s">
        <v>472</v>
      </c>
      <c r="E747" t="s">
        <v>557</v>
      </c>
      <c r="F747" t="s">
        <v>75</v>
      </c>
      <c r="G747">
        <v>1</v>
      </c>
      <c r="H747" s="3">
        <v>1210</v>
      </c>
      <c r="I747" s="3">
        <v>1210</v>
      </c>
      <c r="J747" t="s">
        <v>82</v>
      </c>
      <c r="K747" t="s">
        <v>93</v>
      </c>
      <c r="L747" t="str">
        <f t="shared" si="11"/>
        <v>Saturday</v>
      </c>
    </row>
    <row r="748" spans="1:12" ht="14.25" customHeight="1" x14ac:dyDescent="0.45">
      <c r="A748" t="s">
        <v>1062</v>
      </c>
      <c r="B748" s="2" t="s">
        <v>188</v>
      </c>
      <c r="C748" t="s">
        <v>89</v>
      </c>
      <c r="D748" t="s">
        <v>398</v>
      </c>
      <c r="E748" t="s">
        <v>475</v>
      </c>
      <c r="F748" t="s">
        <v>117</v>
      </c>
      <c r="G748">
        <v>1</v>
      </c>
      <c r="H748" s="3">
        <v>1840</v>
      </c>
      <c r="I748" s="3">
        <v>1840</v>
      </c>
      <c r="J748" t="s">
        <v>76</v>
      </c>
      <c r="K748" t="s">
        <v>77</v>
      </c>
      <c r="L748" t="str">
        <f t="shared" si="11"/>
        <v>Saturday</v>
      </c>
    </row>
    <row r="749" spans="1:12" ht="14.25" customHeight="1" x14ac:dyDescent="0.45">
      <c r="A749" t="s">
        <v>680</v>
      </c>
      <c r="B749" s="2" t="s">
        <v>453</v>
      </c>
      <c r="C749" t="s">
        <v>96</v>
      </c>
      <c r="D749" t="s">
        <v>334</v>
      </c>
      <c r="E749" t="s">
        <v>527</v>
      </c>
      <c r="F749" t="s">
        <v>86</v>
      </c>
      <c r="G749">
        <v>2</v>
      </c>
      <c r="H749" s="3">
        <v>1960</v>
      </c>
      <c r="I749" s="3">
        <v>3920</v>
      </c>
      <c r="J749" t="s">
        <v>76</v>
      </c>
      <c r="K749" t="s">
        <v>83</v>
      </c>
      <c r="L749" t="str">
        <f t="shared" si="11"/>
        <v>Tuesday</v>
      </c>
    </row>
    <row r="750" spans="1:12" ht="14.25" customHeight="1" x14ac:dyDescent="0.45">
      <c r="A750" t="s">
        <v>1078</v>
      </c>
      <c r="B750" s="2" t="s">
        <v>276</v>
      </c>
      <c r="C750" t="s">
        <v>72</v>
      </c>
      <c r="D750" t="s">
        <v>398</v>
      </c>
      <c r="E750" t="s">
        <v>475</v>
      </c>
      <c r="F750" t="s">
        <v>131</v>
      </c>
      <c r="G750">
        <v>1</v>
      </c>
      <c r="H750" s="3">
        <v>1800</v>
      </c>
      <c r="I750" s="3">
        <v>1800</v>
      </c>
      <c r="J750" t="s">
        <v>82</v>
      </c>
      <c r="K750" t="s">
        <v>83</v>
      </c>
      <c r="L750" t="str">
        <f t="shared" si="11"/>
        <v>Friday</v>
      </c>
    </row>
    <row r="751" spans="1:12" ht="14.25" customHeight="1" x14ac:dyDescent="0.45">
      <c r="A751" t="s">
        <v>904</v>
      </c>
      <c r="B751" s="2" t="s">
        <v>186</v>
      </c>
      <c r="C751" t="s">
        <v>100</v>
      </c>
      <c r="D751" t="s">
        <v>472</v>
      </c>
      <c r="E751" t="s">
        <v>473</v>
      </c>
      <c r="F751" t="s">
        <v>107</v>
      </c>
      <c r="G751">
        <v>1</v>
      </c>
      <c r="H751" s="3">
        <v>2450</v>
      </c>
      <c r="I751" s="3">
        <v>2450</v>
      </c>
      <c r="J751" t="s">
        <v>82</v>
      </c>
      <c r="K751" t="s">
        <v>83</v>
      </c>
      <c r="L751" t="str">
        <f t="shared" si="11"/>
        <v>Thursday</v>
      </c>
    </row>
    <row r="752" spans="1:12" ht="14.25" customHeight="1" x14ac:dyDescent="0.45">
      <c r="A752" t="s">
        <v>748</v>
      </c>
      <c r="B752" s="2" t="s">
        <v>95</v>
      </c>
      <c r="C752" t="s">
        <v>96</v>
      </c>
      <c r="D752" t="s">
        <v>472</v>
      </c>
      <c r="E752" t="s">
        <v>500</v>
      </c>
      <c r="F752" t="s">
        <v>75</v>
      </c>
      <c r="G752">
        <v>2</v>
      </c>
      <c r="H752" s="3">
        <v>1640</v>
      </c>
      <c r="I752" s="3">
        <v>3280</v>
      </c>
      <c r="J752" t="s">
        <v>82</v>
      </c>
      <c r="K752" t="s">
        <v>83</v>
      </c>
      <c r="L752" t="str">
        <f t="shared" si="11"/>
        <v>Tuesday</v>
      </c>
    </row>
    <row r="753" spans="1:12" ht="14.25" customHeight="1" x14ac:dyDescent="0.45">
      <c r="A753" t="s">
        <v>998</v>
      </c>
      <c r="B753" s="2" t="s">
        <v>229</v>
      </c>
      <c r="C753" t="s">
        <v>100</v>
      </c>
      <c r="D753" t="s">
        <v>398</v>
      </c>
      <c r="E753" t="s">
        <v>462</v>
      </c>
      <c r="F753" t="s">
        <v>123</v>
      </c>
      <c r="G753">
        <v>1</v>
      </c>
      <c r="H753" s="3">
        <v>2100</v>
      </c>
      <c r="I753" s="3">
        <v>2100</v>
      </c>
      <c r="J753" t="s">
        <v>76</v>
      </c>
      <c r="K753" t="s">
        <v>77</v>
      </c>
      <c r="L753" t="str">
        <f t="shared" si="11"/>
        <v>Tuesday</v>
      </c>
    </row>
    <row r="754" spans="1:12" ht="14.25" customHeight="1" x14ac:dyDescent="0.45">
      <c r="A754" t="s">
        <v>1073</v>
      </c>
      <c r="B754" s="2" t="s">
        <v>264</v>
      </c>
      <c r="C754" t="s">
        <v>96</v>
      </c>
      <c r="D754" t="s">
        <v>398</v>
      </c>
      <c r="E754" t="s">
        <v>475</v>
      </c>
      <c r="F754" t="s">
        <v>97</v>
      </c>
      <c r="G754">
        <v>1</v>
      </c>
      <c r="H754" s="3">
        <v>1810</v>
      </c>
      <c r="I754" s="3">
        <v>1810</v>
      </c>
      <c r="J754" t="s">
        <v>76</v>
      </c>
      <c r="K754" t="s">
        <v>83</v>
      </c>
      <c r="L754" t="str">
        <f t="shared" si="11"/>
        <v>Monday</v>
      </c>
    </row>
    <row r="755" spans="1:12" ht="14.25" customHeight="1" x14ac:dyDescent="0.45">
      <c r="A755" t="s">
        <v>536</v>
      </c>
      <c r="B755" s="2" t="s">
        <v>537</v>
      </c>
      <c r="C755" t="s">
        <v>89</v>
      </c>
      <c r="D755" t="s">
        <v>73</v>
      </c>
      <c r="E755" t="s">
        <v>441</v>
      </c>
      <c r="F755" t="s">
        <v>117</v>
      </c>
      <c r="G755">
        <v>2</v>
      </c>
      <c r="H755" s="3">
        <v>2720</v>
      </c>
      <c r="I755" s="3">
        <v>5440</v>
      </c>
      <c r="J755" t="s">
        <v>82</v>
      </c>
      <c r="K755" t="s">
        <v>83</v>
      </c>
      <c r="L755" t="str">
        <f t="shared" si="11"/>
        <v>Sunday</v>
      </c>
    </row>
    <row r="756" spans="1:12" ht="14.25" customHeight="1" x14ac:dyDescent="0.45">
      <c r="A756" t="s">
        <v>1233</v>
      </c>
      <c r="B756" s="2" t="s">
        <v>130</v>
      </c>
      <c r="C756" t="s">
        <v>96</v>
      </c>
      <c r="D756" t="s">
        <v>472</v>
      </c>
      <c r="E756" t="s">
        <v>691</v>
      </c>
      <c r="F756" t="s">
        <v>117</v>
      </c>
      <c r="G756">
        <v>1</v>
      </c>
      <c r="H756" s="3">
        <v>980</v>
      </c>
      <c r="I756" s="3">
        <v>980</v>
      </c>
      <c r="J756" t="s">
        <v>82</v>
      </c>
      <c r="K756" t="s">
        <v>93</v>
      </c>
      <c r="L756" t="str">
        <f t="shared" si="11"/>
        <v>Monday</v>
      </c>
    </row>
    <row r="757" spans="1:12" ht="14.25" customHeight="1" x14ac:dyDescent="0.45">
      <c r="A757" t="s">
        <v>280</v>
      </c>
      <c r="B757" s="2" t="s">
        <v>281</v>
      </c>
      <c r="C757" t="s">
        <v>96</v>
      </c>
      <c r="D757" t="s">
        <v>196</v>
      </c>
      <c r="E757" t="s">
        <v>246</v>
      </c>
      <c r="F757" t="s">
        <v>131</v>
      </c>
      <c r="G757">
        <v>2</v>
      </c>
      <c r="H757" s="3">
        <v>13130</v>
      </c>
      <c r="I757" s="3">
        <v>26260</v>
      </c>
      <c r="J757" t="s">
        <v>82</v>
      </c>
      <c r="K757" t="s">
        <v>93</v>
      </c>
      <c r="L757" t="str">
        <f t="shared" si="11"/>
        <v>Sunday</v>
      </c>
    </row>
    <row r="758" spans="1:12" ht="14.25" customHeight="1" x14ac:dyDescent="0.45">
      <c r="A758" t="s">
        <v>851</v>
      </c>
      <c r="B758" s="2" t="s">
        <v>537</v>
      </c>
      <c r="C758" t="s">
        <v>96</v>
      </c>
      <c r="D758" t="s">
        <v>73</v>
      </c>
      <c r="E758" t="s">
        <v>441</v>
      </c>
      <c r="F758" t="s">
        <v>140</v>
      </c>
      <c r="G758">
        <v>1</v>
      </c>
      <c r="H758" s="3">
        <v>2830</v>
      </c>
      <c r="I758" s="3">
        <v>2830</v>
      </c>
      <c r="J758" t="s">
        <v>76</v>
      </c>
      <c r="K758" t="s">
        <v>83</v>
      </c>
      <c r="L758" t="str">
        <f t="shared" si="11"/>
        <v>Sunday</v>
      </c>
    </row>
    <row r="759" spans="1:12" ht="14.25" customHeight="1" x14ac:dyDescent="0.45">
      <c r="A759" t="s">
        <v>257</v>
      </c>
      <c r="B759" s="2" t="s">
        <v>258</v>
      </c>
      <c r="C759" t="s">
        <v>96</v>
      </c>
      <c r="D759" t="s">
        <v>196</v>
      </c>
      <c r="E759" t="s">
        <v>197</v>
      </c>
      <c r="F759" t="s">
        <v>131</v>
      </c>
      <c r="G759">
        <v>2</v>
      </c>
      <c r="H759" s="3">
        <v>17940</v>
      </c>
      <c r="I759" s="3">
        <v>35880</v>
      </c>
      <c r="J759" t="s">
        <v>76</v>
      </c>
      <c r="K759" t="s">
        <v>77</v>
      </c>
      <c r="L759" t="str">
        <f t="shared" si="11"/>
        <v>Friday</v>
      </c>
    </row>
    <row r="760" spans="1:12" ht="14.25" customHeight="1" x14ac:dyDescent="0.45">
      <c r="A760" t="s">
        <v>921</v>
      </c>
      <c r="B760" s="2" t="s">
        <v>430</v>
      </c>
      <c r="C760" t="s">
        <v>80</v>
      </c>
      <c r="D760" t="s">
        <v>472</v>
      </c>
      <c r="E760" t="s">
        <v>473</v>
      </c>
      <c r="F760" t="s">
        <v>107</v>
      </c>
      <c r="G760">
        <v>1</v>
      </c>
      <c r="H760" s="3">
        <v>2410</v>
      </c>
      <c r="I760" s="3">
        <v>2410</v>
      </c>
      <c r="J760" t="s">
        <v>82</v>
      </c>
      <c r="K760" t="s">
        <v>93</v>
      </c>
      <c r="L760" t="str">
        <f t="shared" si="11"/>
        <v>Friday</v>
      </c>
    </row>
    <row r="761" spans="1:12" ht="14.25" customHeight="1" x14ac:dyDescent="0.45">
      <c r="A761" t="s">
        <v>182</v>
      </c>
      <c r="B761" s="2" t="s">
        <v>183</v>
      </c>
      <c r="C761" t="s">
        <v>96</v>
      </c>
      <c r="D761" t="s">
        <v>73</v>
      </c>
      <c r="E761" t="s">
        <v>104</v>
      </c>
      <c r="F761" t="s">
        <v>123</v>
      </c>
      <c r="G761">
        <v>1</v>
      </c>
      <c r="H761" s="3">
        <v>57040</v>
      </c>
      <c r="I761" s="3">
        <v>57040</v>
      </c>
      <c r="J761" t="s">
        <v>82</v>
      </c>
      <c r="K761" t="s">
        <v>83</v>
      </c>
      <c r="L761" t="str">
        <f t="shared" si="11"/>
        <v>Sunday</v>
      </c>
    </row>
    <row r="762" spans="1:12" ht="14.25" customHeight="1" x14ac:dyDescent="0.45">
      <c r="A762" t="s">
        <v>87</v>
      </c>
      <c r="B762" s="2" t="s">
        <v>88</v>
      </c>
      <c r="C762" t="s">
        <v>89</v>
      </c>
      <c r="D762" t="s">
        <v>73</v>
      </c>
      <c r="E762" t="s">
        <v>74</v>
      </c>
      <c r="F762" t="s">
        <v>90</v>
      </c>
      <c r="G762">
        <v>2</v>
      </c>
      <c r="H762" s="3">
        <v>97750</v>
      </c>
      <c r="I762" s="3">
        <v>195500</v>
      </c>
      <c r="J762" t="s">
        <v>76</v>
      </c>
      <c r="K762" t="s">
        <v>83</v>
      </c>
      <c r="L762" t="str">
        <f t="shared" si="11"/>
        <v>Wednesday</v>
      </c>
    </row>
    <row r="763" spans="1:12" ht="14.25" customHeight="1" x14ac:dyDescent="0.45">
      <c r="A763" t="s">
        <v>743</v>
      </c>
      <c r="B763" s="2" t="s">
        <v>158</v>
      </c>
      <c r="C763" t="s">
        <v>89</v>
      </c>
      <c r="D763" t="s">
        <v>472</v>
      </c>
      <c r="E763" t="s">
        <v>500</v>
      </c>
      <c r="F763" t="s">
        <v>117</v>
      </c>
      <c r="G763">
        <v>2</v>
      </c>
      <c r="H763" s="3">
        <v>1650</v>
      </c>
      <c r="I763" s="3">
        <v>3300</v>
      </c>
      <c r="J763" t="s">
        <v>76</v>
      </c>
      <c r="K763" t="s">
        <v>77</v>
      </c>
      <c r="L763" t="str">
        <f t="shared" si="11"/>
        <v>Friday</v>
      </c>
    </row>
    <row r="764" spans="1:12" ht="14.25" customHeight="1" x14ac:dyDescent="0.45">
      <c r="A764" t="s">
        <v>731</v>
      </c>
      <c r="B764" s="2" t="s">
        <v>258</v>
      </c>
      <c r="C764" t="s">
        <v>80</v>
      </c>
      <c r="D764" t="s">
        <v>73</v>
      </c>
      <c r="E764" t="s">
        <v>443</v>
      </c>
      <c r="F764" t="s">
        <v>81</v>
      </c>
      <c r="G764">
        <v>1</v>
      </c>
      <c r="H764" s="3">
        <v>3510</v>
      </c>
      <c r="I764" s="3">
        <v>3510</v>
      </c>
      <c r="J764" t="s">
        <v>76</v>
      </c>
      <c r="K764" t="s">
        <v>83</v>
      </c>
      <c r="L764" t="str">
        <f t="shared" si="11"/>
        <v>Friday</v>
      </c>
    </row>
    <row r="765" spans="1:12" ht="14.25" customHeight="1" x14ac:dyDescent="0.45">
      <c r="A765" t="s">
        <v>1079</v>
      </c>
      <c r="B765" s="2" t="s">
        <v>588</v>
      </c>
      <c r="C765" t="s">
        <v>72</v>
      </c>
      <c r="D765" t="s">
        <v>398</v>
      </c>
      <c r="E765" t="s">
        <v>475</v>
      </c>
      <c r="F765" t="s">
        <v>90</v>
      </c>
      <c r="G765">
        <v>1</v>
      </c>
      <c r="H765" s="3">
        <v>1790</v>
      </c>
      <c r="I765" s="3">
        <v>1790</v>
      </c>
      <c r="J765" t="s">
        <v>76</v>
      </c>
      <c r="K765" t="s">
        <v>77</v>
      </c>
      <c r="L765" t="str">
        <f t="shared" si="11"/>
        <v>Sunday</v>
      </c>
    </row>
    <row r="766" spans="1:12" ht="14.25" customHeight="1" x14ac:dyDescent="0.45">
      <c r="A766" t="s">
        <v>325</v>
      </c>
      <c r="B766" s="2" t="s">
        <v>326</v>
      </c>
      <c r="C766" t="s">
        <v>89</v>
      </c>
      <c r="D766" t="s">
        <v>196</v>
      </c>
      <c r="E766" t="s">
        <v>214</v>
      </c>
      <c r="F766" t="s">
        <v>97</v>
      </c>
      <c r="G766">
        <v>1</v>
      </c>
      <c r="H766" s="3">
        <v>15860</v>
      </c>
      <c r="I766" s="3">
        <v>15860</v>
      </c>
      <c r="J766" t="s">
        <v>76</v>
      </c>
      <c r="K766" t="s">
        <v>93</v>
      </c>
      <c r="L766" t="str">
        <f t="shared" si="11"/>
        <v>Saturday</v>
      </c>
    </row>
    <row r="767" spans="1:12" ht="14.25" customHeight="1" x14ac:dyDescent="0.45">
      <c r="A767" t="s">
        <v>660</v>
      </c>
      <c r="B767" s="2" t="s">
        <v>439</v>
      </c>
      <c r="C767" t="s">
        <v>96</v>
      </c>
      <c r="D767" t="s">
        <v>334</v>
      </c>
      <c r="E767" t="s">
        <v>402</v>
      </c>
      <c r="F767" t="s">
        <v>81</v>
      </c>
      <c r="G767">
        <v>1</v>
      </c>
      <c r="H767" s="3">
        <v>4170</v>
      </c>
      <c r="I767" s="3">
        <v>4170</v>
      </c>
      <c r="J767" t="s">
        <v>76</v>
      </c>
      <c r="K767" t="s">
        <v>93</v>
      </c>
      <c r="L767" t="str">
        <f t="shared" si="11"/>
        <v>Saturday</v>
      </c>
    </row>
    <row r="768" spans="1:12" ht="14.25" customHeight="1" x14ac:dyDescent="0.45">
      <c r="A768" t="s">
        <v>888</v>
      </c>
      <c r="B768" s="2" t="s">
        <v>552</v>
      </c>
      <c r="C768" t="s">
        <v>89</v>
      </c>
      <c r="D768" t="s">
        <v>398</v>
      </c>
      <c r="E768" t="s">
        <v>464</v>
      </c>
      <c r="F768" t="s">
        <v>140</v>
      </c>
      <c r="G768">
        <v>1</v>
      </c>
      <c r="H768" s="3">
        <v>2530</v>
      </c>
      <c r="I768" s="3">
        <v>2530</v>
      </c>
      <c r="J768" t="s">
        <v>82</v>
      </c>
      <c r="K768" t="s">
        <v>83</v>
      </c>
      <c r="L768" t="str">
        <f t="shared" si="11"/>
        <v>Saturday</v>
      </c>
    </row>
    <row r="769" spans="1:12" ht="14.25" customHeight="1" x14ac:dyDescent="0.45">
      <c r="A769" t="s">
        <v>1124</v>
      </c>
      <c r="B769" s="2" t="s">
        <v>240</v>
      </c>
      <c r="C769" t="s">
        <v>96</v>
      </c>
      <c r="D769" t="s">
        <v>472</v>
      </c>
      <c r="E769" t="s">
        <v>500</v>
      </c>
      <c r="F769" t="s">
        <v>81</v>
      </c>
      <c r="G769">
        <v>1</v>
      </c>
      <c r="H769" s="3">
        <v>1580</v>
      </c>
      <c r="I769" s="3">
        <v>1580</v>
      </c>
      <c r="J769" t="s">
        <v>82</v>
      </c>
      <c r="K769" t="s">
        <v>77</v>
      </c>
      <c r="L769" t="str">
        <f t="shared" si="11"/>
        <v>Friday</v>
      </c>
    </row>
    <row r="770" spans="1:12" ht="14.25" customHeight="1" x14ac:dyDescent="0.45">
      <c r="A770" t="s">
        <v>615</v>
      </c>
      <c r="B770" s="2" t="s">
        <v>391</v>
      </c>
      <c r="C770" t="s">
        <v>89</v>
      </c>
      <c r="D770" t="s">
        <v>196</v>
      </c>
      <c r="E770" t="s">
        <v>300</v>
      </c>
      <c r="F770" t="s">
        <v>86</v>
      </c>
      <c r="G770">
        <v>1</v>
      </c>
      <c r="H770" s="3">
        <v>4360</v>
      </c>
      <c r="I770" s="3">
        <v>4360</v>
      </c>
      <c r="J770" t="s">
        <v>76</v>
      </c>
      <c r="K770" t="s">
        <v>83</v>
      </c>
      <c r="L770" t="str">
        <f t="shared" ref="L770:L833" si="12">TEXT(B770,"dddd")</f>
        <v>Monday</v>
      </c>
    </row>
    <row r="771" spans="1:12" ht="14.25" customHeight="1" x14ac:dyDescent="0.45">
      <c r="A771" t="s">
        <v>236</v>
      </c>
      <c r="B771" s="2" t="s">
        <v>237</v>
      </c>
      <c r="C771" t="s">
        <v>89</v>
      </c>
      <c r="D771" t="s">
        <v>73</v>
      </c>
      <c r="E771" t="s">
        <v>101</v>
      </c>
      <c r="F771" t="s">
        <v>107</v>
      </c>
      <c r="G771">
        <v>1</v>
      </c>
      <c r="H771" s="3">
        <v>42300</v>
      </c>
      <c r="I771" s="3">
        <v>42300</v>
      </c>
      <c r="J771" t="s">
        <v>82</v>
      </c>
      <c r="K771" t="s">
        <v>93</v>
      </c>
      <c r="L771" t="str">
        <f t="shared" si="12"/>
        <v>Friday</v>
      </c>
    </row>
    <row r="772" spans="1:12" ht="14.25" customHeight="1" x14ac:dyDescent="0.45">
      <c r="A772" t="s">
        <v>1039</v>
      </c>
      <c r="B772" s="2" t="s">
        <v>695</v>
      </c>
      <c r="C772" t="s">
        <v>89</v>
      </c>
      <c r="D772" t="s">
        <v>472</v>
      </c>
      <c r="E772" t="s">
        <v>691</v>
      </c>
      <c r="F772" t="s">
        <v>81</v>
      </c>
      <c r="G772">
        <v>2</v>
      </c>
      <c r="H772" s="3">
        <v>940</v>
      </c>
      <c r="I772" s="3">
        <v>1880</v>
      </c>
      <c r="J772" t="s">
        <v>82</v>
      </c>
      <c r="K772" t="s">
        <v>83</v>
      </c>
      <c r="L772" t="str">
        <f t="shared" si="12"/>
        <v>Tuesday</v>
      </c>
    </row>
    <row r="773" spans="1:12" ht="14.25" customHeight="1" x14ac:dyDescent="0.45">
      <c r="A773" t="s">
        <v>1009</v>
      </c>
      <c r="B773" s="2" t="s">
        <v>513</v>
      </c>
      <c r="C773" t="s">
        <v>72</v>
      </c>
      <c r="D773" t="s">
        <v>398</v>
      </c>
      <c r="E773" t="s">
        <v>462</v>
      </c>
      <c r="F773" t="s">
        <v>123</v>
      </c>
      <c r="G773">
        <v>1</v>
      </c>
      <c r="H773" s="3">
        <v>2030</v>
      </c>
      <c r="I773" s="3">
        <v>2030</v>
      </c>
      <c r="J773" t="s">
        <v>76</v>
      </c>
      <c r="K773" t="s">
        <v>83</v>
      </c>
      <c r="L773" t="str">
        <f t="shared" si="12"/>
        <v>Friday</v>
      </c>
    </row>
    <row r="774" spans="1:12" ht="14.25" customHeight="1" x14ac:dyDescent="0.45">
      <c r="A774" t="s">
        <v>308</v>
      </c>
      <c r="B774" s="2" t="s">
        <v>309</v>
      </c>
      <c r="C774" t="s">
        <v>100</v>
      </c>
      <c r="D774" t="s">
        <v>196</v>
      </c>
      <c r="E774" t="s">
        <v>197</v>
      </c>
      <c r="F774" t="s">
        <v>131</v>
      </c>
      <c r="G774">
        <v>1</v>
      </c>
      <c r="H774" s="3">
        <v>18430</v>
      </c>
      <c r="I774" s="3">
        <v>18430</v>
      </c>
      <c r="J774" t="s">
        <v>82</v>
      </c>
      <c r="K774" t="s">
        <v>83</v>
      </c>
      <c r="L774" t="str">
        <f t="shared" si="12"/>
        <v>Sunday</v>
      </c>
    </row>
    <row r="775" spans="1:12" ht="14.25" customHeight="1" x14ac:dyDescent="0.45">
      <c r="A775" t="s">
        <v>437</v>
      </c>
      <c r="B775" s="2" t="s">
        <v>148</v>
      </c>
      <c r="C775" t="s">
        <v>100</v>
      </c>
      <c r="D775" t="s">
        <v>73</v>
      </c>
      <c r="E775" t="s">
        <v>211</v>
      </c>
      <c r="F775" t="s">
        <v>75</v>
      </c>
      <c r="G775">
        <v>1</v>
      </c>
      <c r="H775" s="3">
        <v>11530</v>
      </c>
      <c r="I775" s="3">
        <v>11530</v>
      </c>
      <c r="J775" t="s">
        <v>82</v>
      </c>
      <c r="K775" t="s">
        <v>93</v>
      </c>
      <c r="L775" t="str">
        <f t="shared" si="12"/>
        <v>Sunday</v>
      </c>
    </row>
    <row r="776" spans="1:12" ht="14.25" customHeight="1" x14ac:dyDescent="0.45">
      <c r="A776" t="s">
        <v>1190</v>
      </c>
      <c r="B776" s="2" t="s">
        <v>177</v>
      </c>
      <c r="C776" t="s">
        <v>89</v>
      </c>
      <c r="D776" t="s">
        <v>472</v>
      </c>
      <c r="E776" t="s">
        <v>557</v>
      </c>
      <c r="F776" t="s">
        <v>90</v>
      </c>
      <c r="G776">
        <v>1</v>
      </c>
      <c r="H776" s="3">
        <v>1220</v>
      </c>
      <c r="I776" s="3">
        <v>1220</v>
      </c>
      <c r="J776" t="s">
        <v>76</v>
      </c>
      <c r="K776" t="s">
        <v>77</v>
      </c>
      <c r="L776" t="str">
        <f t="shared" si="12"/>
        <v>Tuesday</v>
      </c>
    </row>
    <row r="777" spans="1:12" ht="14.25" customHeight="1" x14ac:dyDescent="0.45">
      <c r="A777" t="s">
        <v>349</v>
      </c>
      <c r="B777" s="2" t="s">
        <v>350</v>
      </c>
      <c r="C777" t="s">
        <v>96</v>
      </c>
      <c r="D777" t="s">
        <v>196</v>
      </c>
      <c r="E777" t="s">
        <v>214</v>
      </c>
      <c r="F777" t="s">
        <v>131</v>
      </c>
      <c r="G777">
        <v>1</v>
      </c>
      <c r="H777" s="3">
        <v>15350</v>
      </c>
      <c r="I777" s="3">
        <v>15350</v>
      </c>
      <c r="J777" t="s">
        <v>82</v>
      </c>
      <c r="K777" t="s">
        <v>83</v>
      </c>
      <c r="L777" t="str">
        <f t="shared" si="12"/>
        <v>Tuesday</v>
      </c>
    </row>
    <row r="778" spans="1:12" ht="14.25" customHeight="1" x14ac:dyDescent="0.45">
      <c r="A778" t="s">
        <v>616</v>
      </c>
      <c r="B778" s="2" t="s">
        <v>617</v>
      </c>
      <c r="C778" t="s">
        <v>89</v>
      </c>
      <c r="D778" t="s">
        <v>334</v>
      </c>
      <c r="E778" t="s">
        <v>402</v>
      </c>
      <c r="F778" t="s">
        <v>117</v>
      </c>
      <c r="G778">
        <v>1</v>
      </c>
      <c r="H778" s="3">
        <v>4360</v>
      </c>
      <c r="I778" s="3">
        <v>4360</v>
      </c>
      <c r="J778" t="s">
        <v>76</v>
      </c>
      <c r="K778" t="s">
        <v>83</v>
      </c>
      <c r="L778" t="str">
        <f t="shared" si="12"/>
        <v>Thursday</v>
      </c>
    </row>
    <row r="779" spans="1:12" ht="14.25" customHeight="1" x14ac:dyDescent="0.45">
      <c r="A779" t="s">
        <v>787</v>
      </c>
      <c r="B779" s="2" t="s">
        <v>439</v>
      </c>
      <c r="C779" t="s">
        <v>96</v>
      </c>
      <c r="D779" t="s">
        <v>472</v>
      </c>
      <c r="E779" t="s">
        <v>497</v>
      </c>
      <c r="F779" t="s">
        <v>131</v>
      </c>
      <c r="G779">
        <v>1</v>
      </c>
      <c r="H779" s="3">
        <v>3160</v>
      </c>
      <c r="I779" s="3">
        <v>3160</v>
      </c>
      <c r="J779" t="s">
        <v>76</v>
      </c>
      <c r="K779" t="s">
        <v>77</v>
      </c>
      <c r="L779" t="str">
        <f t="shared" si="12"/>
        <v>Saturday</v>
      </c>
    </row>
    <row r="780" spans="1:12" ht="14.25" customHeight="1" x14ac:dyDescent="0.45">
      <c r="A780" t="s">
        <v>317</v>
      </c>
      <c r="B780" s="2" t="s">
        <v>318</v>
      </c>
      <c r="C780" t="s">
        <v>96</v>
      </c>
      <c r="D780" t="s">
        <v>196</v>
      </c>
      <c r="E780" t="s">
        <v>197</v>
      </c>
      <c r="F780" t="s">
        <v>107</v>
      </c>
      <c r="G780">
        <v>1</v>
      </c>
      <c r="H780" s="3">
        <v>18030</v>
      </c>
      <c r="I780" s="3">
        <v>18030</v>
      </c>
      <c r="J780" t="s">
        <v>82</v>
      </c>
      <c r="K780" t="s">
        <v>93</v>
      </c>
      <c r="L780" t="str">
        <f t="shared" si="12"/>
        <v>Monday</v>
      </c>
    </row>
    <row r="781" spans="1:12" ht="14.25" customHeight="1" x14ac:dyDescent="0.45">
      <c r="A781" t="s">
        <v>310</v>
      </c>
      <c r="B781" s="2" t="s">
        <v>311</v>
      </c>
      <c r="C781" t="s">
        <v>100</v>
      </c>
      <c r="D781" t="s">
        <v>196</v>
      </c>
      <c r="E781" t="s">
        <v>197</v>
      </c>
      <c r="F781" t="s">
        <v>140</v>
      </c>
      <c r="G781">
        <v>1</v>
      </c>
      <c r="H781" s="3">
        <v>18370</v>
      </c>
      <c r="I781" s="3">
        <v>18370</v>
      </c>
      <c r="J781" t="s">
        <v>76</v>
      </c>
      <c r="K781" t="s">
        <v>77</v>
      </c>
      <c r="L781" t="str">
        <f t="shared" si="12"/>
        <v>Thursday</v>
      </c>
    </row>
    <row r="782" spans="1:12" ht="14.25" customHeight="1" x14ac:dyDescent="0.45">
      <c r="A782" t="s">
        <v>241</v>
      </c>
      <c r="B782" s="2" t="s">
        <v>242</v>
      </c>
      <c r="C782" t="s">
        <v>100</v>
      </c>
      <c r="D782" t="s">
        <v>73</v>
      </c>
      <c r="E782" t="s">
        <v>101</v>
      </c>
      <c r="F782" t="s">
        <v>90</v>
      </c>
      <c r="G782">
        <v>1</v>
      </c>
      <c r="H782" s="3">
        <v>41910</v>
      </c>
      <c r="I782" s="3">
        <v>41910</v>
      </c>
      <c r="J782" t="s">
        <v>82</v>
      </c>
      <c r="K782" t="s">
        <v>83</v>
      </c>
      <c r="L782" t="str">
        <f t="shared" si="12"/>
        <v>Tuesday</v>
      </c>
    </row>
    <row r="783" spans="1:12" ht="14.25" customHeight="1" x14ac:dyDescent="0.45">
      <c r="A783" t="s">
        <v>420</v>
      </c>
      <c r="B783" s="2" t="s">
        <v>363</v>
      </c>
      <c r="C783" t="s">
        <v>96</v>
      </c>
      <c r="D783" t="s">
        <v>73</v>
      </c>
      <c r="E783" t="s">
        <v>211</v>
      </c>
      <c r="F783" t="s">
        <v>131</v>
      </c>
      <c r="G783">
        <v>1</v>
      </c>
      <c r="H783" s="3">
        <v>11990</v>
      </c>
      <c r="I783" s="3">
        <v>11990</v>
      </c>
      <c r="J783" t="s">
        <v>76</v>
      </c>
      <c r="K783" t="s">
        <v>77</v>
      </c>
      <c r="L783" t="str">
        <f t="shared" si="12"/>
        <v>Sunday</v>
      </c>
    </row>
    <row r="784" spans="1:12" ht="14.25" customHeight="1" x14ac:dyDescent="0.45">
      <c r="A784" t="s">
        <v>800</v>
      </c>
      <c r="B784" s="2" t="s">
        <v>150</v>
      </c>
      <c r="C784" t="s">
        <v>100</v>
      </c>
      <c r="D784" t="s">
        <v>398</v>
      </c>
      <c r="E784" t="s">
        <v>399</v>
      </c>
      <c r="F784" t="s">
        <v>123</v>
      </c>
      <c r="G784">
        <v>1</v>
      </c>
      <c r="H784" s="3">
        <v>3130</v>
      </c>
      <c r="I784" s="3">
        <v>3130</v>
      </c>
      <c r="J784" t="s">
        <v>82</v>
      </c>
      <c r="K784" t="s">
        <v>83</v>
      </c>
      <c r="L784" t="str">
        <f t="shared" si="12"/>
        <v>Saturday</v>
      </c>
    </row>
    <row r="785" spans="1:12" ht="14.25" customHeight="1" x14ac:dyDescent="0.45">
      <c r="A785" t="s">
        <v>750</v>
      </c>
      <c r="B785" s="2" t="s">
        <v>234</v>
      </c>
      <c r="C785" t="s">
        <v>80</v>
      </c>
      <c r="D785" t="s">
        <v>398</v>
      </c>
      <c r="E785" t="s">
        <v>399</v>
      </c>
      <c r="F785" t="s">
        <v>140</v>
      </c>
      <c r="G785">
        <v>1</v>
      </c>
      <c r="H785" s="3">
        <v>3270</v>
      </c>
      <c r="I785" s="3">
        <v>3270</v>
      </c>
      <c r="J785" t="s">
        <v>82</v>
      </c>
      <c r="K785" t="s">
        <v>93</v>
      </c>
      <c r="L785" t="str">
        <f t="shared" si="12"/>
        <v>Monday</v>
      </c>
    </row>
    <row r="786" spans="1:12" ht="14.25" customHeight="1" x14ac:dyDescent="0.45">
      <c r="A786" t="s">
        <v>1092</v>
      </c>
      <c r="B786" s="2" t="s">
        <v>221</v>
      </c>
      <c r="C786" t="s">
        <v>100</v>
      </c>
      <c r="D786" t="s">
        <v>398</v>
      </c>
      <c r="E786" t="s">
        <v>475</v>
      </c>
      <c r="F786" t="s">
        <v>131</v>
      </c>
      <c r="G786">
        <v>1</v>
      </c>
      <c r="H786" s="3">
        <v>1750</v>
      </c>
      <c r="I786" s="3">
        <v>1750</v>
      </c>
      <c r="J786" t="s">
        <v>82</v>
      </c>
      <c r="K786" t="s">
        <v>83</v>
      </c>
      <c r="L786" t="str">
        <f t="shared" si="12"/>
        <v>Saturday</v>
      </c>
    </row>
    <row r="787" spans="1:12" ht="14.25" customHeight="1" x14ac:dyDescent="0.45">
      <c r="A787" t="s">
        <v>973</v>
      </c>
      <c r="B787" s="2" t="s">
        <v>227</v>
      </c>
      <c r="C787" t="s">
        <v>72</v>
      </c>
      <c r="D787" t="s">
        <v>398</v>
      </c>
      <c r="E787" t="s">
        <v>448</v>
      </c>
      <c r="F787" t="s">
        <v>86</v>
      </c>
      <c r="G787">
        <v>1</v>
      </c>
      <c r="H787" s="3">
        <v>2180</v>
      </c>
      <c r="I787" s="3">
        <v>2180</v>
      </c>
      <c r="J787" t="s">
        <v>82</v>
      </c>
      <c r="K787" t="s">
        <v>83</v>
      </c>
      <c r="L787" t="str">
        <f t="shared" si="12"/>
        <v>Sunday</v>
      </c>
    </row>
    <row r="788" spans="1:12" ht="14.25" customHeight="1" x14ac:dyDescent="0.45">
      <c r="A788" t="s">
        <v>1251</v>
      </c>
      <c r="B788" s="2" t="s">
        <v>305</v>
      </c>
      <c r="C788" t="s">
        <v>100</v>
      </c>
      <c r="D788" t="s">
        <v>472</v>
      </c>
      <c r="E788" t="s">
        <v>691</v>
      </c>
      <c r="F788" t="s">
        <v>140</v>
      </c>
      <c r="G788">
        <v>1</v>
      </c>
      <c r="H788" s="3">
        <v>930</v>
      </c>
      <c r="I788" s="3">
        <v>930</v>
      </c>
      <c r="J788" t="s">
        <v>76</v>
      </c>
      <c r="K788" t="s">
        <v>77</v>
      </c>
      <c r="L788" t="str">
        <f t="shared" si="12"/>
        <v>Sunday</v>
      </c>
    </row>
    <row r="789" spans="1:12" ht="14.25" customHeight="1" x14ac:dyDescent="0.45">
      <c r="A789" t="s">
        <v>203</v>
      </c>
      <c r="B789" s="2" t="s">
        <v>204</v>
      </c>
      <c r="C789" t="s">
        <v>72</v>
      </c>
      <c r="D789" t="s">
        <v>73</v>
      </c>
      <c r="E789" t="s">
        <v>104</v>
      </c>
      <c r="F789" t="s">
        <v>107</v>
      </c>
      <c r="G789">
        <v>1</v>
      </c>
      <c r="H789" s="3">
        <v>53970</v>
      </c>
      <c r="I789" s="3">
        <v>53970</v>
      </c>
      <c r="J789" t="s">
        <v>82</v>
      </c>
      <c r="K789" t="s">
        <v>83</v>
      </c>
      <c r="L789" t="str">
        <f t="shared" si="12"/>
        <v>Monday</v>
      </c>
    </row>
    <row r="790" spans="1:12" ht="14.25" customHeight="1" x14ac:dyDescent="0.45">
      <c r="A790" t="s">
        <v>433</v>
      </c>
      <c r="B790" s="2" t="s">
        <v>240</v>
      </c>
      <c r="C790" t="s">
        <v>96</v>
      </c>
      <c r="D790" t="s">
        <v>73</v>
      </c>
      <c r="E790" t="s">
        <v>211</v>
      </c>
      <c r="F790" t="s">
        <v>107</v>
      </c>
      <c r="G790">
        <v>1</v>
      </c>
      <c r="H790" s="3">
        <v>11670</v>
      </c>
      <c r="I790" s="3">
        <v>11670</v>
      </c>
      <c r="J790" t="s">
        <v>82</v>
      </c>
      <c r="K790" t="s">
        <v>83</v>
      </c>
      <c r="L790" t="str">
        <f t="shared" si="12"/>
        <v>Friday</v>
      </c>
    </row>
    <row r="791" spans="1:12" ht="14.25" customHeight="1" x14ac:dyDescent="0.45">
      <c r="A791" t="s">
        <v>945</v>
      </c>
      <c r="B791" s="2" t="s">
        <v>242</v>
      </c>
      <c r="C791" t="s">
        <v>89</v>
      </c>
      <c r="D791" t="s">
        <v>398</v>
      </c>
      <c r="E791" t="s">
        <v>448</v>
      </c>
      <c r="F791" t="s">
        <v>107</v>
      </c>
      <c r="G791">
        <v>1</v>
      </c>
      <c r="H791" s="3">
        <v>2290</v>
      </c>
      <c r="I791" s="3">
        <v>2290</v>
      </c>
      <c r="J791" t="s">
        <v>82</v>
      </c>
      <c r="K791" t="s">
        <v>77</v>
      </c>
      <c r="L791" t="str">
        <f t="shared" si="12"/>
        <v>Tuesday</v>
      </c>
    </row>
    <row r="792" spans="1:12" ht="14.25" customHeight="1" x14ac:dyDescent="0.45">
      <c r="A792" t="s">
        <v>268</v>
      </c>
      <c r="B792" s="2" t="s">
        <v>269</v>
      </c>
      <c r="C792" t="s">
        <v>72</v>
      </c>
      <c r="D792" t="s">
        <v>196</v>
      </c>
      <c r="E792" t="s">
        <v>246</v>
      </c>
      <c r="F792" t="s">
        <v>90</v>
      </c>
      <c r="G792">
        <v>2</v>
      </c>
      <c r="H792" s="3">
        <v>14010</v>
      </c>
      <c r="I792" s="3">
        <v>28020</v>
      </c>
      <c r="J792" t="s">
        <v>76</v>
      </c>
      <c r="K792" t="s">
        <v>93</v>
      </c>
      <c r="L792" t="str">
        <f t="shared" si="12"/>
        <v>Sunday</v>
      </c>
    </row>
    <row r="793" spans="1:12" ht="14.25" customHeight="1" x14ac:dyDescent="0.45">
      <c r="A793" t="s">
        <v>611</v>
      </c>
      <c r="B793" s="2" t="s">
        <v>103</v>
      </c>
      <c r="C793" t="s">
        <v>96</v>
      </c>
      <c r="D793" t="s">
        <v>196</v>
      </c>
      <c r="E793" t="s">
        <v>300</v>
      </c>
      <c r="F793" t="s">
        <v>90</v>
      </c>
      <c r="G793">
        <v>1</v>
      </c>
      <c r="H793" s="3">
        <v>4370</v>
      </c>
      <c r="I793" s="3">
        <v>4370</v>
      </c>
      <c r="J793" t="s">
        <v>76</v>
      </c>
      <c r="K793" t="s">
        <v>83</v>
      </c>
      <c r="L793" t="str">
        <f t="shared" si="12"/>
        <v>Thursday</v>
      </c>
    </row>
    <row r="794" spans="1:12" ht="14.25" customHeight="1" x14ac:dyDescent="0.45">
      <c r="A794" t="s">
        <v>872</v>
      </c>
      <c r="B794" s="2" t="s">
        <v>216</v>
      </c>
      <c r="C794" t="s">
        <v>89</v>
      </c>
      <c r="D794" t="s">
        <v>398</v>
      </c>
      <c r="E794" t="s">
        <v>464</v>
      </c>
      <c r="F794" t="s">
        <v>123</v>
      </c>
      <c r="G794">
        <v>1</v>
      </c>
      <c r="H794" s="3">
        <v>2640</v>
      </c>
      <c r="I794" s="3">
        <v>2640</v>
      </c>
      <c r="J794" t="s">
        <v>76</v>
      </c>
      <c r="K794" t="s">
        <v>83</v>
      </c>
      <c r="L794" t="str">
        <f t="shared" si="12"/>
        <v>Sunday</v>
      </c>
    </row>
    <row r="795" spans="1:12" ht="14.25" customHeight="1" x14ac:dyDescent="0.45">
      <c r="A795" t="s">
        <v>1024</v>
      </c>
      <c r="B795" s="2" t="s">
        <v>119</v>
      </c>
      <c r="C795" t="s">
        <v>89</v>
      </c>
      <c r="D795" t="s">
        <v>472</v>
      </c>
      <c r="E795" t="s">
        <v>691</v>
      </c>
      <c r="F795" t="s">
        <v>107</v>
      </c>
      <c r="G795">
        <v>2</v>
      </c>
      <c r="H795" s="3">
        <v>960</v>
      </c>
      <c r="I795" s="3">
        <v>1920</v>
      </c>
      <c r="J795" t="s">
        <v>82</v>
      </c>
      <c r="K795" t="s">
        <v>83</v>
      </c>
      <c r="L795" t="str">
        <f t="shared" si="12"/>
        <v>Tuesday</v>
      </c>
    </row>
    <row r="796" spans="1:12" ht="14.25" customHeight="1" x14ac:dyDescent="0.45">
      <c r="A796" t="s">
        <v>781</v>
      </c>
      <c r="B796" s="2" t="s">
        <v>251</v>
      </c>
      <c r="C796" t="s">
        <v>80</v>
      </c>
      <c r="D796" t="s">
        <v>472</v>
      </c>
      <c r="E796" t="s">
        <v>497</v>
      </c>
      <c r="F796" t="s">
        <v>117</v>
      </c>
      <c r="G796">
        <v>1</v>
      </c>
      <c r="H796" s="3">
        <v>3170</v>
      </c>
      <c r="I796" s="3">
        <v>3170</v>
      </c>
      <c r="J796" t="s">
        <v>82</v>
      </c>
      <c r="K796" t="s">
        <v>93</v>
      </c>
      <c r="L796" t="str">
        <f t="shared" si="12"/>
        <v>Friday</v>
      </c>
    </row>
    <row r="797" spans="1:12" ht="14.25" customHeight="1" x14ac:dyDescent="0.45">
      <c r="A797" t="s">
        <v>521</v>
      </c>
      <c r="B797" s="2" t="s">
        <v>522</v>
      </c>
      <c r="C797" t="s">
        <v>96</v>
      </c>
      <c r="D797" t="s">
        <v>472</v>
      </c>
      <c r="E797" t="s">
        <v>497</v>
      </c>
      <c r="F797" t="s">
        <v>107</v>
      </c>
      <c r="G797">
        <v>2</v>
      </c>
      <c r="H797" s="3">
        <v>3020</v>
      </c>
      <c r="I797" s="3">
        <v>6040</v>
      </c>
      <c r="J797" t="s">
        <v>82</v>
      </c>
      <c r="K797" t="s">
        <v>83</v>
      </c>
      <c r="L797" t="str">
        <f t="shared" si="12"/>
        <v>Thursday</v>
      </c>
    </row>
    <row r="798" spans="1:12" ht="14.25" customHeight="1" x14ac:dyDescent="0.45">
      <c r="A798" t="s">
        <v>940</v>
      </c>
      <c r="B798" s="2" t="s">
        <v>404</v>
      </c>
      <c r="C798" t="s">
        <v>96</v>
      </c>
      <c r="D798" t="s">
        <v>472</v>
      </c>
      <c r="E798" t="s">
        <v>473</v>
      </c>
      <c r="F798" t="s">
        <v>81</v>
      </c>
      <c r="G798">
        <v>1</v>
      </c>
      <c r="H798" s="3">
        <v>2320</v>
      </c>
      <c r="I798" s="3">
        <v>2320</v>
      </c>
      <c r="J798" t="s">
        <v>76</v>
      </c>
      <c r="K798" t="s">
        <v>83</v>
      </c>
      <c r="L798" t="str">
        <f t="shared" si="12"/>
        <v>Thursday</v>
      </c>
    </row>
    <row r="799" spans="1:12" ht="14.25" customHeight="1" x14ac:dyDescent="0.45">
      <c r="A799" t="s">
        <v>815</v>
      </c>
      <c r="B799" s="2" t="s">
        <v>305</v>
      </c>
      <c r="C799" t="s">
        <v>89</v>
      </c>
      <c r="D799" t="s">
        <v>398</v>
      </c>
      <c r="E799" t="s">
        <v>399</v>
      </c>
      <c r="F799" t="s">
        <v>117</v>
      </c>
      <c r="G799">
        <v>1</v>
      </c>
      <c r="H799" s="3">
        <v>3090</v>
      </c>
      <c r="I799" s="3">
        <v>3090</v>
      </c>
      <c r="J799" t="s">
        <v>76</v>
      </c>
      <c r="K799" t="s">
        <v>83</v>
      </c>
      <c r="L799" t="str">
        <f t="shared" si="12"/>
        <v>Sunday</v>
      </c>
    </row>
    <row r="800" spans="1:12" ht="14.25" customHeight="1" x14ac:dyDescent="0.45">
      <c r="A800" t="s">
        <v>1064</v>
      </c>
      <c r="B800" s="2" t="s">
        <v>632</v>
      </c>
      <c r="C800" t="s">
        <v>89</v>
      </c>
      <c r="D800" t="s">
        <v>398</v>
      </c>
      <c r="E800" t="s">
        <v>475</v>
      </c>
      <c r="F800" t="s">
        <v>123</v>
      </c>
      <c r="G800">
        <v>1</v>
      </c>
      <c r="H800" s="3">
        <v>1830</v>
      </c>
      <c r="I800" s="3">
        <v>1830</v>
      </c>
      <c r="J800" t="s">
        <v>76</v>
      </c>
      <c r="K800" t="s">
        <v>77</v>
      </c>
      <c r="L800" t="str">
        <f t="shared" si="12"/>
        <v>Thursday</v>
      </c>
    </row>
    <row r="801" spans="1:12" ht="14.25" customHeight="1" x14ac:dyDescent="0.45">
      <c r="A801" t="s">
        <v>1087</v>
      </c>
      <c r="B801" s="2" t="s">
        <v>169</v>
      </c>
      <c r="C801" t="s">
        <v>96</v>
      </c>
      <c r="D801" t="s">
        <v>398</v>
      </c>
      <c r="E801" t="s">
        <v>475</v>
      </c>
      <c r="F801" t="s">
        <v>90</v>
      </c>
      <c r="G801">
        <v>1</v>
      </c>
      <c r="H801" s="3">
        <v>1760</v>
      </c>
      <c r="I801" s="3">
        <v>1760</v>
      </c>
      <c r="J801" t="s">
        <v>76</v>
      </c>
      <c r="K801" t="s">
        <v>77</v>
      </c>
      <c r="L801" t="str">
        <f t="shared" si="12"/>
        <v>Saturday</v>
      </c>
    </row>
    <row r="802" spans="1:12" ht="14.25" customHeight="1" x14ac:dyDescent="0.45">
      <c r="A802" t="s">
        <v>165</v>
      </c>
      <c r="B802" s="2" t="s">
        <v>166</v>
      </c>
      <c r="C802" t="s">
        <v>89</v>
      </c>
      <c r="D802" t="s">
        <v>73</v>
      </c>
      <c r="E802" t="s">
        <v>101</v>
      </c>
      <c r="F802" t="s">
        <v>97</v>
      </c>
      <c r="G802">
        <v>2</v>
      </c>
      <c r="H802" s="3">
        <v>42750</v>
      </c>
      <c r="I802" s="3">
        <v>85500</v>
      </c>
      <c r="J802" t="s">
        <v>76</v>
      </c>
      <c r="K802" t="s">
        <v>77</v>
      </c>
      <c r="L802" t="str">
        <f t="shared" si="12"/>
        <v>Friday</v>
      </c>
    </row>
    <row r="803" spans="1:12" ht="14.25" customHeight="1" x14ac:dyDescent="0.45">
      <c r="A803" t="s">
        <v>1222</v>
      </c>
      <c r="B803" s="2" t="s">
        <v>869</v>
      </c>
      <c r="C803" t="s">
        <v>89</v>
      </c>
      <c r="D803" t="s">
        <v>472</v>
      </c>
      <c r="E803" t="s">
        <v>557</v>
      </c>
      <c r="F803" t="s">
        <v>90</v>
      </c>
      <c r="G803">
        <v>1</v>
      </c>
      <c r="H803" s="3">
        <v>1160</v>
      </c>
      <c r="I803" s="3">
        <v>1160</v>
      </c>
      <c r="J803" t="s">
        <v>82</v>
      </c>
      <c r="K803" t="s">
        <v>83</v>
      </c>
      <c r="L803" t="str">
        <f t="shared" si="12"/>
        <v>Monday</v>
      </c>
    </row>
    <row r="804" spans="1:12" ht="14.25" customHeight="1" x14ac:dyDescent="0.45">
      <c r="A804" t="s">
        <v>1209</v>
      </c>
      <c r="B804" s="2" t="s">
        <v>204</v>
      </c>
      <c r="C804" t="s">
        <v>96</v>
      </c>
      <c r="D804" t="s">
        <v>472</v>
      </c>
      <c r="E804" t="s">
        <v>557</v>
      </c>
      <c r="F804" t="s">
        <v>86</v>
      </c>
      <c r="G804">
        <v>1</v>
      </c>
      <c r="H804" s="3">
        <v>1180</v>
      </c>
      <c r="I804" s="3">
        <v>1180</v>
      </c>
      <c r="J804" t="s">
        <v>82</v>
      </c>
      <c r="K804" t="s">
        <v>77</v>
      </c>
      <c r="L804" t="str">
        <f t="shared" si="12"/>
        <v>Monday</v>
      </c>
    </row>
    <row r="805" spans="1:12" ht="14.25" customHeight="1" x14ac:dyDescent="0.45">
      <c r="A805" t="s">
        <v>703</v>
      </c>
      <c r="B805" s="2" t="s">
        <v>133</v>
      </c>
      <c r="C805" t="s">
        <v>96</v>
      </c>
      <c r="D805" t="s">
        <v>334</v>
      </c>
      <c r="E805" t="s">
        <v>335</v>
      </c>
      <c r="F805" t="s">
        <v>131</v>
      </c>
      <c r="G805">
        <v>1</v>
      </c>
      <c r="H805" s="3">
        <v>3740</v>
      </c>
      <c r="I805" s="3">
        <v>3740</v>
      </c>
      <c r="J805" t="s">
        <v>82</v>
      </c>
      <c r="K805" t="s">
        <v>77</v>
      </c>
      <c r="L805" t="str">
        <f t="shared" si="12"/>
        <v>Wednesday</v>
      </c>
    </row>
    <row r="806" spans="1:12" ht="14.25" customHeight="1" x14ac:dyDescent="0.45">
      <c r="A806" t="s">
        <v>294</v>
      </c>
      <c r="B806" s="2" t="s">
        <v>295</v>
      </c>
      <c r="C806" t="s">
        <v>96</v>
      </c>
      <c r="D806" t="s">
        <v>196</v>
      </c>
      <c r="E806" t="s">
        <v>197</v>
      </c>
      <c r="F806" t="s">
        <v>81</v>
      </c>
      <c r="G806">
        <v>1</v>
      </c>
      <c r="H806" s="3">
        <v>18960</v>
      </c>
      <c r="I806" s="3">
        <v>18960</v>
      </c>
      <c r="J806" t="s">
        <v>76</v>
      </c>
      <c r="K806" t="s">
        <v>83</v>
      </c>
      <c r="L806" t="str">
        <f t="shared" si="12"/>
        <v>Wednesday</v>
      </c>
    </row>
    <row r="807" spans="1:12" ht="14.25" customHeight="1" x14ac:dyDescent="0.45">
      <c r="A807" t="s">
        <v>905</v>
      </c>
      <c r="B807" s="2" t="s">
        <v>171</v>
      </c>
      <c r="C807" t="s">
        <v>96</v>
      </c>
      <c r="D807" t="s">
        <v>472</v>
      </c>
      <c r="E807" t="s">
        <v>473</v>
      </c>
      <c r="F807" t="s">
        <v>131</v>
      </c>
      <c r="G807">
        <v>1</v>
      </c>
      <c r="H807" s="3">
        <v>2450</v>
      </c>
      <c r="I807" s="3">
        <v>2450</v>
      </c>
      <c r="J807" t="s">
        <v>76</v>
      </c>
      <c r="K807" t="s">
        <v>93</v>
      </c>
      <c r="L807" t="str">
        <f t="shared" si="12"/>
        <v>Thursday</v>
      </c>
    </row>
    <row r="808" spans="1:12" ht="14.25" customHeight="1" x14ac:dyDescent="0.45">
      <c r="A808" t="s">
        <v>983</v>
      </c>
      <c r="B808" s="2" t="s">
        <v>213</v>
      </c>
      <c r="C808" t="s">
        <v>96</v>
      </c>
      <c r="D808" t="s">
        <v>398</v>
      </c>
      <c r="E808" t="s">
        <v>448</v>
      </c>
      <c r="F808" t="s">
        <v>97</v>
      </c>
      <c r="G808">
        <v>1</v>
      </c>
      <c r="H808" s="3">
        <v>2160</v>
      </c>
      <c r="I808" s="3">
        <v>2160</v>
      </c>
      <c r="J808" t="s">
        <v>76</v>
      </c>
      <c r="K808" t="s">
        <v>83</v>
      </c>
      <c r="L808" t="str">
        <f t="shared" si="12"/>
        <v>Tuesday</v>
      </c>
    </row>
    <row r="809" spans="1:12" ht="14.25" customHeight="1" x14ac:dyDescent="0.45">
      <c r="A809" t="s">
        <v>444</v>
      </c>
      <c r="B809" s="2" t="s">
        <v>445</v>
      </c>
      <c r="C809" t="s">
        <v>96</v>
      </c>
      <c r="D809" t="s">
        <v>398</v>
      </c>
      <c r="E809" t="s">
        <v>399</v>
      </c>
      <c r="F809" t="s">
        <v>123</v>
      </c>
      <c r="G809">
        <v>3</v>
      </c>
      <c r="H809" s="3">
        <v>3130</v>
      </c>
      <c r="I809" s="3">
        <v>9390</v>
      </c>
      <c r="J809" t="s">
        <v>82</v>
      </c>
      <c r="K809" t="s">
        <v>77</v>
      </c>
      <c r="L809" t="str">
        <f t="shared" si="12"/>
        <v>Tuesday</v>
      </c>
    </row>
    <row r="810" spans="1:12" ht="14.25" customHeight="1" x14ac:dyDescent="0.45">
      <c r="A810" t="s">
        <v>810</v>
      </c>
      <c r="B810" s="2" t="s">
        <v>376</v>
      </c>
      <c r="C810" t="s">
        <v>100</v>
      </c>
      <c r="D810" t="s">
        <v>472</v>
      </c>
      <c r="E810" t="s">
        <v>500</v>
      </c>
      <c r="F810" t="s">
        <v>117</v>
      </c>
      <c r="G810">
        <v>2</v>
      </c>
      <c r="H810" s="3">
        <v>1550</v>
      </c>
      <c r="I810" s="3">
        <v>3100</v>
      </c>
      <c r="J810" t="s">
        <v>82</v>
      </c>
      <c r="K810" t="s">
        <v>83</v>
      </c>
      <c r="L810" t="str">
        <f t="shared" si="12"/>
        <v>Friday</v>
      </c>
    </row>
    <row r="811" spans="1:12" ht="14.25" customHeight="1" x14ac:dyDescent="0.45">
      <c r="A811" t="s">
        <v>832</v>
      </c>
      <c r="B811" s="2" t="s">
        <v>133</v>
      </c>
      <c r="C811" t="s">
        <v>89</v>
      </c>
      <c r="D811" t="s">
        <v>334</v>
      </c>
      <c r="E811" t="s">
        <v>515</v>
      </c>
      <c r="F811" t="s">
        <v>117</v>
      </c>
      <c r="G811">
        <v>2</v>
      </c>
      <c r="H811" s="3">
        <v>1520</v>
      </c>
      <c r="I811" s="3">
        <v>3040</v>
      </c>
      <c r="J811" t="s">
        <v>82</v>
      </c>
      <c r="K811" t="s">
        <v>93</v>
      </c>
      <c r="L811" t="str">
        <f t="shared" si="12"/>
        <v>Wednesday</v>
      </c>
    </row>
    <row r="812" spans="1:12" ht="14.25" customHeight="1" x14ac:dyDescent="0.45">
      <c r="A812" t="s">
        <v>725</v>
      </c>
      <c r="B812" s="2" t="s">
        <v>85</v>
      </c>
      <c r="C812" t="s">
        <v>100</v>
      </c>
      <c r="D812" t="s">
        <v>472</v>
      </c>
      <c r="E812" t="s">
        <v>557</v>
      </c>
      <c r="F812" t="s">
        <v>107</v>
      </c>
      <c r="G812">
        <v>3</v>
      </c>
      <c r="H812" s="3">
        <v>1190</v>
      </c>
      <c r="I812" s="3">
        <v>3570</v>
      </c>
      <c r="J812" t="s">
        <v>76</v>
      </c>
      <c r="K812" t="s">
        <v>83</v>
      </c>
      <c r="L812" t="str">
        <f t="shared" si="12"/>
        <v>Wednesday</v>
      </c>
    </row>
    <row r="813" spans="1:12" ht="14.25" customHeight="1" x14ac:dyDescent="0.45">
      <c r="A813" t="s">
        <v>108</v>
      </c>
      <c r="B813" s="2" t="s">
        <v>109</v>
      </c>
      <c r="C813" t="s">
        <v>72</v>
      </c>
      <c r="D813" t="s">
        <v>73</v>
      </c>
      <c r="E813" t="s">
        <v>101</v>
      </c>
      <c r="F813" t="s">
        <v>97</v>
      </c>
      <c r="G813">
        <v>3</v>
      </c>
      <c r="H813" s="3">
        <v>41610</v>
      </c>
      <c r="I813" s="3">
        <v>124830</v>
      </c>
      <c r="J813" t="s">
        <v>82</v>
      </c>
      <c r="K813" t="s">
        <v>83</v>
      </c>
      <c r="L813" t="str">
        <f t="shared" si="12"/>
        <v>Saturday</v>
      </c>
    </row>
    <row r="814" spans="1:12" ht="14.25" customHeight="1" x14ac:dyDescent="0.45">
      <c r="A814" t="s">
        <v>1216</v>
      </c>
      <c r="B814" s="2" t="s">
        <v>670</v>
      </c>
      <c r="C814" t="s">
        <v>80</v>
      </c>
      <c r="D814" t="s">
        <v>472</v>
      </c>
      <c r="E814" t="s">
        <v>557</v>
      </c>
      <c r="F814" t="s">
        <v>123</v>
      </c>
      <c r="G814">
        <v>1</v>
      </c>
      <c r="H814" s="3">
        <v>1170</v>
      </c>
      <c r="I814" s="3">
        <v>1170</v>
      </c>
      <c r="J814" t="s">
        <v>76</v>
      </c>
      <c r="K814" t="s">
        <v>77</v>
      </c>
      <c r="L814" t="str">
        <f t="shared" si="12"/>
        <v>Monday</v>
      </c>
    </row>
    <row r="815" spans="1:12" ht="14.25" customHeight="1" x14ac:dyDescent="0.45">
      <c r="A815" t="s">
        <v>880</v>
      </c>
      <c r="B815" s="2" t="s">
        <v>326</v>
      </c>
      <c r="C815" t="s">
        <v>100</v>
      </c>
      <c r="D815" t="s">
        <v>398</v>
      </c>
      <c r="E815" t="s">
        <v>464</v>
      </c>
      <c r="F815" t="s">
        <v>107</v>
      </c>
      <c r="G815">
        <v>1</v>
      </c>
      <c r="H815" s="3">
        <v>2600</v>
      </c>
      <c r="I815" s="3">
        <v>2600</v>
      </c>
      <c r="J815" t="s">
        <v>82</v>
      </c>
      <c r="K815" t="s">
        <v>83</v>
      </c>
      <c r="L815" t="str">
        <f t="shared" si="12"/>
        <v>Saturday</v>
      </c>
    </row>
    <row r="816" spans="1:12" ht="14.25" customHeight="1" x14ac:dyDescent="0.45">
      <c r="A816" t="s">
        <v>771</v>
      </c>
      <c r="B816" s="2" t="s">
        <v>715</v>
      </c>
      <c r="C816" t="s">
        <v>72</v>
      </c>
      <c r="D816" t="s">
        <v>472</v>
      </c>
      <c r="E816" t="s">
        <v>497</v>
      </c>
      <c r="F816" t="s">
        <v>131</v>
      </c>
      <c r="G816">
        <v>1</v>
      </c>
      <c r="H816" s="3">
        <v>3200</v>
      </c>
      <c r="I816" s="3">
        <v>3200</v>
      </c>
      <c r="J816" t="s">
        <v>82</v>
      </c>
      <c r="K816" t="s">
        <v>83</v>
      </c>
      <c r="L816" t="str">
        <f t="shared" si="12"/>
        <v>Saturday</v>
      </c>
    </row>
    <row r="817" spans="1:12" ht="14.25" customHeight="1" x14ac:dyDescent="0.45">
      <c r="A817" t="s">
        <v>730</v>
      </c>
      <c r="B817" s="2" t="s">
        <v>210</v>
      </c>
      <c r="C817" t="s">
        <v>89</v>
      </c>
      <c r="D817" t="s">
        <v>73</v>
      </c>
      <c r="E817" t="s">
        <v>443</v>
      </c>
      <c r="F817" t="s">
        <v>140</v>
      </c>
      <c r="G817">
        <v>1</v>
      </c>
      <c r="H817" s="3">
        <v>3530</v>
      </c>
      <c r="I817" s="3">
        <v>3530</v>
      </c>
      <c r="J817" t="s">
        <v>82</v>
      </c>
      <c r="K817" t="s">
        <v>77</v>
      </c>
      <c r="L817" t="str">
        <f t="shared" si="12"/>
        <v>Thursday</v>
      </c>
    </row>
    <row r="818" spans="1:12" ht="14.25" customHeight="1" x14ac:dyDescent="0.45">
      <c r="A818" t="s">
        <v>353</v>
      </c>
      <c r="B818" s="2" t="s">
        <v>354</v>
      </c>
      <c r="C818" t="s">
        <v>96</v>
      </c>
      <c r="D818" t="s">
        <v>196</v>
      </c>
      <c r="E818" t="s">
        <v>214</v>
      </c>
      <c r="F818" t="s">
        <v>107</v>
      </c>
      <c r="G818">
        <v>1</v>
      </c>
      <c r="H818" s="3">
        <v>15310</v>
      </c>
      <c r="I818" s="3">
        <v>15310</v>
      </c>
      <c r="J818" t="s">
        <v>76</v>
      </c>
      <c r="K818" t="s">
        <v>83</v>
      </c>
      <c r="L818" t="str">
        <f t="shared" si="12"/>
        <v>Thursday</v>
      </c>
    </row>
    <row r="819" spans="1:12" ht="14.25" customHeight="1" x14ac:dyDescent="0.45">
      <c r="A819" t="s">
        <v>1237</v>
      </c>
      <c r="B819" s="2" t="s">
        <v>699</v>
      </c>
      <c r="C819" t="s">
        <v>96</v>
      </c>
      <c r="D819" t="s">
        <v>472</v>
      </c>
      <c r="E819" t="s">
        <v>691</v>
      </c>
      <c r="F819" t="s">
        <v>140</v>
      </c>
      <c r="G819">
        <v>1</v>
      </c>
      <c r="H819" s="3">
        <v>970</v>
      </c>
      <c r="I819" s="3">
        <v>970</v>
      </c>
      <c r="J819" t="s">
        <v>82</v>
      </c>
      <c r="K819" t="s">
        <v>83</v>
      </c>
      <c r="L819" t="str">
        <f t="shared" si="12"/>
        <v>Tuesday</v>
      </c>
    </row>
    <row r="820" spans="1:12" ht="14.25" customHeight="1" x14ac:dyDescent="0.45">
      <c r="A820" t="s">
        <v>1248</v>
      </c>
      <c r="B820" s="2" t="s">
        <v>554</v>
      </c>
      <c r="C820" t="s">
        <v>89</v>
      </c>
      <c r="D820" t="s">
        <v>472</v>
      </c>
      <c r="E820" t="s">
        <v>691</v>
      </c>
      <c r="F820" t="s">
        <v>140</v>
      </c>
      <c r="G820">
        <v>1</v>
      </c>
      <c r="H820" s="3">
        <v>940</v>
      </c>
      <c r="I820" s="3">
        <v>940</v>
      </c>
      <c r="J820" t="s">
        <v>76</v>
      </c>
      <c r="K820" t="s">
        <v>77</v>
      </c>
      <c r="L820" t="str">
        <f t="shared" si="12"/>
        <v>Tuesday</v>
      </c>
    </row>
    <row r="821" spans="1:12" ht="14.25" customHeight="1" x14ac:dyDescent="0.45">
      <c r="A821" t="s">
        <v>899</v>
      </c>
      <c r="B821" s="2" t="s">
        <v>522</v>
      </c>
      <c r="C821" t="s">
        <v>96</v>
      </c>
      <c r="D821" t="s">
        <v>472</v>
      </c>
      <c r="E821" t="s">
        <v>557</v>
      </c>
      <c r="F821" t="s">
        <v>75</v>
      </c>
      <c r="G821">
        <v>2</v>
      </c>
      <c r="H821" s="3">
        <v>1240</v>
      </c>
      <c r="I821" s="3">
        <v>2480</v>
      </c>
      <c r="J821" t="s">
        <v>76</v>
      </c>
      <c r="K821" t="s">
        <v>83</v>
      </c>
      <c r="L821" t="str">
        <f t="shared" si="12"/>
        <v>Thursday</v>
      </c>
    </row>
    <row r="822" spans="1:12" ht="14.25" customHeight="1" x14ac:dyDescent="0.45">
      <c r="A822" t="s">
        <v>974</v>
      </c>
      <c r="B822" s="2" t="s">
        <v>556</v>
      </c>
      <c r="C822" t="s">
        <v>80</v>
      </c>
      <c r="D822" t="s">
        <v>398</v>
      </c>
      <c r="E822" t="s">
        <v>462</v>
      </c>
      <c r="F822" t="s">
        <v>117</v>
      </c>
      <c r="G822">
        <v>1</v>
      </c>
      <c r="H822" s="3">
        <v>2180</v>
      </c>
      <c r="I822" s="3">
        <v>2180</v>
      </c>
      <c r="J822" t="s">
        <v>76</v>
      </c>
      <c r="K822" t="s">
        <v>83</v>
      </c>
      <c r="L822" t="str">
        <f t="shared" si="12"/>
        <v>Monday</v>
      </c>
    </row>
    <row r="823" spans="1:12" ht="14.25" customHeight="1" x14ac:dyDescent="0.45">
      <c r="A823" t="s">
        <v>112</v>
      </c>
      <c r="B823" s="2" t="s">
        <v>113</v>
      </c>
      <c r="C823" t="s">
        <v>89</v>
      </c>
      <c r="D823" t="s">
        <v>73</v>
      </c>
      <c r="E823" t="s">
        <v>104</v>
      </c>
      <c r="F823" t="s">
        <v>107</v>
      </c>
      <c r="G823">
        <v>2</v>
      </c>
      <c r="H823" s="3">
        <v>56960</v>
      </c>
      <c r="I823" s="3">
        <v>113920</v>
      </c>
      <c r="J823" t="s">
        <v>76</v>
      </c>
      <c r="K823" t="s">
        <v>83</v>
      </c>
      <c r="L823" t="str">
        <f t="shared" si="12"/>
        <v>Sunday</v>
      </c>
    </row>
    <row r="824" spans="1:12" ht="14.25" customHeight="1" x14ac:dyDescent="0.45">
      <c r="A824" t="s">
        <v>651</v>
      </c>
      <c r="B824" s="2" t="s">
        <v>171</v>
      </c>
      <c r="C824" t="s">
        <v>72</v>
      </c>
      <c r="D824" t="s">
        <v>334</v>
      </c>
      <c r="E824" t="s">
        <v>402</v>
      </c>
      <c r="F824" t="s">
        <v>90</v>
      </c>
      <c r="G824">
        <v>1</v>
      </c>
      <c r="H824" s="3">
        <v>4190</v>
      </c>
      <c r="I824" s="3">
        <v>4190</v>
      </c>
      <c r="J824" t="s">
        <v>82</v>
      </c>
      <c r="K824" t="s">
        <v>93</v>
      </c>
      <c r="L824" t="str">
        <f t="shared" si="12"/>
        <v>Thursday</v>
      </c>
    </row>
    <row r="825" spans="1:12" ht="14.25" customHeight="1" x14ac:dyDescent="0.45">
      <c r="A825" t="s">
        <v>683</v>
      </c>
      <c r="B825" s="2" t="s">
        <v>365</v>
      </c>
      <c r="C825" t="s">
        <v>100</v>
      </c>
      <c r="D825" t="s">
        <v>334</v>
      </c>
      <c r="E825" t="s">
        <v>335</v>
      </c>
      <c r="F825" t="s">
        <v>81</v>
      </c>
      <c r="G825">
        <v>1</v>
      </c>
      <c r="H825" s="3">
        <v>3890</v>
      </c>
      <c r="I825" s="3">
        <v>3890</v>
      </c>
      <c r="J825" t="s">
        <v>82</v>
      </c>
      <c r="K825" t="s">
        <v>83</v>
      </c>
      <c r="L825" t="str">
        <f t="shared" si="12"/>
        <v>Friday</v>
      </c>
    </row>
    <row r="826" spans="1:12" ht="14.25" customHeight="1" x14ac:dyDescent="0.45">
      <c r="A826" t="s">
        <v>665</v>
      </c>
      <c r="B826" s="2" t="s">
        <v>85</v>
      </c>
      <c r="C826" t="s">
        <v>96</v>
      </c>
      <c r="D826" t="s">
        <v>334</v>
      </c>
      <c r="E826" t="s">
        <v>402</v>
      </c>
      <c r="F826" t="s">
        <v>86</v>
      </c>
      <c r="G826">
        <v>1</v>
      </c>
      <c r="H826" s="3">
        <v>4120</v>
      </c>
      <c r="I826" s="3">
        <v>4120</v>
      </c>
      <c r="J826" t="s">
        <v>76</v>
      </c>
      <c r="K826" t="s">
        <v>93</v>
      </c>
      <c r="L826" t="str">
        <f t="shared" si="12"/>
        <v>Wednesday</v>
      </c>
    </row>
    <row r="827" spans="1:12" ht="14.25" customHeight="1" x14ac:dyDescent="0.45">
      <c r="A827" t="s">
        <v>532</v>
      </c>
      <c r="B827" s="2" t="s">
        <v>422</v>
      </c>
      <c r="C827" t="s">
        <v>89</v>
      </c>
      <c r="D827" t="s">
        <v>73</v>
      </c>
      <c r="E827" t="s">
        <v>441</v>
      </c>
      <c r="F827" t="s">
        <v>97</v>
      </c>
      <c r="G827">
        <v>2</v>
      </c>
      <c r="H827" s="3">
        <v>2780</v>
      </c>
      <c r="I827" s="3">
        <v>5560</v>
      </c>
      <c r="J827" t="s">
        <v>76</v>
      </c>
      <c r="K827" t="s">
        <v>83</v>
      </c>
      <c r="L827" t="str">
        <f t="shared" si="12"/>
        <v>Wednesday</v>
      </c>
    </row>
    <row r="828" spans="1:12" ht="14.25" customHeight="1" x14ac:dyDescent="0.45">
      <c r="A828" t="s">
        <v>155</v>
      </c>
      <c r="B828" s="2" t="s">
        <v>156</v>
      </c>
      <c r="C828" t="s">
        <v>96</v>
      </c>
      <c r="D828" t="s">
        <v>73</v>
      </c>
      <c r="E828" t="s">
        <v>74</v>
      </c>
      <c r="F828" t="s">
        <v>140</v>
      </c>
      <c r="G828">
        <v>1</v>
      </c>
      <c r="H828" s="3">
        <v>93310</v>
      </c>
      <c r="I828" s="3">
        <v>93310</v>
      </c>
      <c r="J828" t="s">
        <v>82</v>
      </c>
      <c r="K828" t="s">
        <v>93</v>
      </c>
      <c r="L828" t="str">
        <f t="shared" si="12"/>
        <v>Monday</v>
      </c>
    </row>
    <row r="829" spans="1:12" ht="14.25" customHeight="1" x14ac:dyDescent="0.45">
      <c r="A829" t="s">
        <v>841</v>
      </c>
      <c r="B829" s="2" t="s">
        <v>350</v>
      </c>
      <c r="C829" t="s">
        <v>96</v>
      </c>
      <c r="D829" t="s">
        <v>73</v>
      </c>
      <c r="E829" t="s">
        <v>441</v>
      </c>
      <c r="F829" t="s">
        <v>75</v>
      </c>
      <c r="G829">
        <v>1</v>
      </c>
      <c r="H829" s="3">
        <v>2900</v>
      </c>
      <c r="I829" s="3">
        <v>2900</v>
      </c>
      <c r="J829" t="s">
        <v>82</v>
      </c>
      <c r="K829" t="s">
        <v>77</v>
      </c>
      <c r="L829" t="str">
        <f t="shared" si="12"/>
        <v>Tuesday</v>
      </c>
    </row>
    <row r="830" spans="1:12" ht="14.25" customHeight="1" x14ac:dyDescent="0.45">
      <c r="A830" t="s">
        <v>272</v>
      </c>
      <c r="B830" s="2" t="s">
        <v>271</v>
      </c>
      <c r="C830" t="s">
        <v>96</v>
      </c>
      <c r="D830" t="s">
        <v>196</v>
      </c>
      <c r="E830" t="s">
        <v>246</v>
      </c>
      <c r="F830" t="s">
        <v>117</v>
      </c>
      <c r="G830">
        <v>2</v>
      </c>
      <c r="H830" s="3">
        <v>13900</v>
      </c>
      <c r="I830" s="3">
        <v>27800</v>
      </c>
      <c r="J830" t="s">
        <v>76</v>
      </c>
      <c r="K830" t="s">
        <v>83</v>
      </c>
      <c r="L830" t="str">
        <f t="shared" si="12"/>
        <v>Tuesday</v>
      </c>
    </row>
    <row r="831" spans="1:12" ht="14.25" customHeight="1" x14ac:dyDescent="0.45">
      <c r="A831" t="s">
        <v>1141</v>
      </c>
      <c r="B831" s="2" t="s">
        <v>407</v>
      </c>
      <c r="C831" t="s">
        <v>96</v>
      </c>
      <c r="D831" t="s">
        <v>472</v>
      </c>
      <c r="E831" t="s">
        <v>500</v>
      </c>
      <c r="F831" t="s">
        <v>123</v>
      </c>
      <c r="G831">
        <v>1</v>
      </c>
      <c r="H831" s="3">
        <v>1540</v>
      </c>
      <c r="I831" s="3">
        <v>1540</v>
      </c>
      <c r="J831" t="s">
        <v>82</v>
      </c>
      <c r="K831" t="s">
        <v>93</v>
      </c>
      <c r="L831" t="str">
        <f t="shared" si="12"/>
        <v>Wednesday</v>
      </c>
    </row>
    <row r="832" spans="1:12" ht="14.25" customHeight="1" x14ac:dyDescent="0.45">
      <c r="A832" t="s">
        <v>435</v>
      </c>
      <c r="B832" s="2" t="s">
        <v>436</v>
      </c>
      <c r="C832" t="s">
        <v>100</v>
      </c>
      <c r="D832" t="s">
        <v>73</v>
      </c>
      <c r="E832" t="s">
        <v>211</v>
      </c>
      <c r="F832" t="s">
        <v>123</v>
      </c>
      <c r="G832">
        <v>1</v>
      </c>
      <c r="H832" s="3">
        <v>11560</v>
      </c>
      <c r="I832" s="3">
        <v>11560</v>
      </c>
      <c r="J832" t="s">
        <v>82</v>
      </c>
      <c r="K832" t="s">
        <v>83</v>
      </c>
      <c r="L832" t="str">
        <f t="shared" si="12"/>
        <v>Saturday</v>
      </c>
    </row>
    <row r="833" spans="1:12" ht="14.25" customHeight="1" x14ac:dyDescent="0.45">
      <c r="A833" t="s">
        <v>128</v>
      </c>
      <c r="B833" s="2" t="s">
        <v>85</v>
      </c>
      <c r="C833" t="s">
        <v>96</v>
      </c>
      <c r="D833" t="s">
        <v>73</v>
      </c>
      <c r="E833" t="s">
        <v>104</v>
      </c>
      <c r="F833" t="s">
        <v>81</v>
      </c>
      <c r="G833">
        <v>2</v>
      </c>
      <c r="H833" s="3">
        <v>54230</v>
      </c>
      <c r="I833" s="3">
        <v>108460</v>
      </c>
      <c r="J833" t="s">
        <v>82</v>
      </c>
      <c r="K833" t="s">
        <v>83</v>
      </c>
      <c r="L833" t="str">
        <f t="shared" si="12"/>
        <v>Wednesday</v>
      </c>
    </row>
    <row r="834" spans="1:12" ht="14.25" customHeight="1" x14ac:dyDescent="0.45">
      <c r="A834" t="s">
        <v>114</v>
      </c>
      <c r="B834" s="2" t="s">
        <v>115</v>
      </c>
      <c r="C834" t="s">
        <v>72</v>
      </c>
      <c r="D834" t="s">
        <v>73</v>
      </c>
      <c r="E834" t="s">
        <v>104</v>
      </c>
      <c r="F834" t="s">
        <v>97</v>
      </c>
      <c r="G834">
        <v>2</v>
      </c>
      <c r="H834" s="3">
        <v>56920</v>
      </c>
      <c r="I834" s="3">
        <v>113840</v>
      </c>
      <c r="J834" t="s">
        <v>82</v>
      </c>
      <c r="K834" t="s">
        <v>83</v>
      </c>
      <c r="L834" t="str">
        <f t="shared" ref="L834:L897" si="13">TEXT(B834,"dddd")</f>
        <v>Friday</v>
      </c>
    </row>
    <row r="835" spans="1:12" ht="14.25" customHeight="1" x14ac:dyDescent="0.45">
      <c r="A835" t="s">
        <v>1158</v>
      </c>
      <c r="B835" s="2" t="s">
        <v>162</v>
      </c>
      <c r="C835" t="s">
        <v>72</v>
      </c>
      <c r="D835" t="s">
        <v>334</v>
      </c>
      <c r="E835" t="s">
        <v>515</v>
      </c>
      <c r="F835" t="s">
        <v>90</v>
      </c>
      <c r="G835">
        <v>1</v>
      </c>
      <c r="H835" s="3">
        <v>1480</v>
      </c>
      <c r="I835" s="3">
        <v>1480</v>
      </c>
      <c r="J835" t="s">
        <v>76</v>
      </c>
      <c r="K835" t="s">
        <v>77</v>
      </c>
      <c r="L835" t="str">
        <f t="shared" si="13"/>
        <v>Sunday</v>
      </c>
    </row>
    <row r="836" spans="1:12" ht="14.25" customHeight="1" x14ac:dyDescent="0.45">
      <c r="A836" t="s">
        <v>336</v>
      </c>
      <c r="B836" s="2" t="s">
        <v>337</v>
      </c>
      <c r="C836" t="s">
        <v>72</v>
      </c>
      <c r="D836" t="s">
        <v>196</v>
      </c>
      <c r="E836" t="s">
        <v>214</v>
      </c>
      <c r="F836" t="s">
        <v>123</v>
      </c>
      <c r="G836">
        <v>1</v>
      </c>
      <c r="H836" s="3">
        <v>15710</v>
      </c>
      <c r="I836" s="3">
        <v>15710</v>
      </c>
      <c r="J836" t="s">
        <v>76</v>
      </c>
      <c r="K836" t="s">
        <v>83</v>
      </c>
      <c r="L836" t="str">
        <f t="shared" si="13"/>
        <v>Monday</v>
      </c>
    </row>
    <row r="837" spans="1:12" ht="14.25" customHeight="1" x14ac:dyDescent="0.45">
      <c r="A837" t="s">
        <v>1080</v>
      </c>
      <c r="B837" s="2" t="s">
        <v>359</v>
      </c>
      <c r="C837" t="s">
        <v>89</v>
      </c>
      <c r="D837" t="s">
        <v>398</v>
      </c>
      <c r="E837" t="s">
        <v>475</v>
      </c>
      <c r="F837" t="s">
        <v>140</v>
      </c>
      <c r="G837">
        <v>1</v>
      </c>
      <c r="H837" s="3">
        <v>1790</v>
      </c>
      <c r="I837" s="3">
        <v>1790</v>
      </c>
      <c r="J837" t="s">
        <v>76</v>
      </c>
      <c r="K837" t="s">
        <v>93</v>
      </c>
      <c r="L837" t="str">
        <f t="shared" si="13"/>
        <v>Sunday</v>
      </c>
    </row>
    <row r="838" spans="1:12" ht="14.25" customHeight="1" x14ac:dyDescent="0.45">
      <c r="A838" t="s">
        <v>930</v>
      </c>
      <c r="B838" s="2" t="s">
        <v>258</v>
      </c>
      <c r="C838" t="s">
        <v>96</v>
      </c>
      <c r="D838" t="s">
        <v>472</v>
      </c>
      <c r="E838" t="s">
        <v>473</v>
      </c>
      <c r="F838" t="s">
        <v>97</v>
      </c>
      <c r="G838">
        <v>1</v>
      </c>
      <c r="H838" s="3">
        <v>2360</v>
      </c>
      <c r="I838" s="3">
        <v>2360</v>
      </c>
      <c r="J838" t="s">
        <v>76</v>
      </c>
      <c r="K838" t="s">
        <v>83</v>
      </c>
      <c r="L838" t="str">
        <f t="shared" si="13"/>
        <v>Friday</v>
      </c>
    </row>
    <row r="839" spans="1:12" ht="14.25" customHeight="1" x14ac:dyDescent="0.45">
      <c r="A839" t="s">
        <v>906</v>
      </c>
      <c r="B839" s="2" t="s">
        <v>632</v>
      </c>
      <c r="C839" t="s">
        <v>96</v>
      </c>
      <c r="D839" t="s">
        <v>472</v>
      </c>
      <c r="E839" t="s">
        <v>473</v>
      </c>
      <c r="F839" t="s">
        <v>117</v>
      </c>
      <c r="G839">
        <v>1</v>
      </c>
      <c r="H839" s="3">
        <v>2450</v>
      </c>
      <c r="I839" s="3">
        <v>2450</v>
      </c>
      <c r="J839" t="s">
        <v>76</v>
      </c>
      <c r="K839" t="s">
        <v>83</v>
      </c>
      <c r="L839" t="str">
        <f t="shared" si="13"/>
        <v>Thursday</v>
      </c>
    </row>
    <row r="840" spans="1:12" ht="14.25" customHeight="1" x14ac:dyDescent="0.45">
      <c r="A840" t="s">
        <v>1025</v>
      </c>
      <c r="B840" s="2" t="s">
        <v>332</v>
      </c>
      <c r="C840" t="s">
        <v>96</v>
      </c>
      <c r="D840" t="s">
        <v>472</v>
      </c>
      <c r="E840" t="s">
        <v>691</v>
      </c>
      <c r="F840" t="s">
        <v>86</v>
      </c>
      <c r="G840">
        <v>2</v>
      </c>
      <c r="H840" s="3">
        <v>960</v>
      </c>
      <c r="I840" s="3">
        <v>1920</v>
      </c>
      <c r="J840" t="s">
        <v>82</v>
      </c>
      <c r="K840" t="s">
        <v>83</v>
      </c>
      <c r="L840" t="str">
        <f t="shared" si="13"/>
        <v>Thursday</v>
      </c>
    </row>
    <row r="841" spans="1:12" ht="14.25" customHeight="1" x14ac:dyDescent="0.45">
      <c r="A841" t="s">
        <v>1094</v>
      </c>
      <c r="B841" s="2" t="s">
        <v>298</v>
      </c>
      <c r="C841" t="s">
        <v>80</v>
      </c>
      <c r="D841" t="s">
        <v>398</v>
      </c>
      <c r="E841" t="s">
        <v>475</v>
      </c>
      <c r="F841" t="s">
        <v>117</v>
      </c>
      <c r="G841">
        <v>1</v>
      </c>
      <c r="H841" s="3">
        <v>1740</v>
      </c>
      <c r="I841" s="3">
        <v>1740</v>
      </c>
      <c r="J841" t="s">
        <v>82</v>
      </c>
      <c r="K841" t="s">
        <v>93</v>
      </c>
      <c r="L841" t="str">
        <f t="shared" si="13"/>
        <v>Friday</v>
      </c>
    </row>
    <row r="842" spans="1:12" ht="14.25" customHeight="1" x14ac:dyDescent="0.45">
      <c r="A842" t="s">
        <v>523</v>
      </c>
      <c r="B842" s="2" t="s">
        <v>261</v>
      </c>
      <c r="C842" t="s">
        <v>96</v>
      </c>
      <c r="D842" t="s">
        <v>472</v>
      </c>
      <c r="E842" t="s">
        <v>497</v>
      </c>
      <c r="F842" t="s">
        <v>123</v>
      </c>
      <c r="G842">
        <v>2</v>
      </c>
      <c r="H842" s="3">
        <v>3000</v>
      </c>
      <c r="I842" s="3">
        <v>6000</v>
      </c>
      <c r="J842" t="s">
        <v>76</v>
      </c>
      <c r="K842" t="s">
        <v>77</v>
      </c>
      <c r="L842" t="str">
        <f t="shared" si="13"/>
        <v>Sunday</v>
      </c>
    </row>
    <row r="843" spans="1:12" ht="14.25" customHeight="1" x14ac:dyDescent="0.45">
      <c r="A843" t="s">
        <v>712</v>
      </c>
      <c r="B843" s="2" t="s">
        <v>693</v>
      </c>
      <c r="C843" t="s">
        <v>80</v>
      </c>
      <c r="D843" t="s">
        <v>334</v>
      </c>
      <c r="E843" t="s">
        <v>335</v>
      </c>
      <c r="F843" t="s">
        <v>90</v>
      </c>
      <c r="G843">
        <v>1</v>
      </c>
      <c r="H843" s="3">
        <v>3680</v>
      </c>
      <c r="I843" s="3">
        <v>3680</v>
      </c>
      <c r="J843" t="s">
        <v>76</v>
      </c>
      <c r="K843" t="s">
        <v>93</v>
      </c>
      <c r="L843" t="str">
        <f t="shared" si="13"/>
        <v>Friday</v>
      </c>
    </row>
    <row r="844" spans="1:12" ht="14.25" customHeight="1" x14ac:dyDescent="0.45">
      <c r="A844" t="s">
        <v>1070</v>
      </c>
      <c r="B844" s="2" t="s">
        <v>234</v>
      </c>
      <c r="C844" t="s">
        <v>96</v>
      </c>
      <c r="D844" t="s">
        <v>398</v>
      </c>
      <c r="E844" t="s">
        <v>475</v>
      </c>
      <c r="F844" t="s">
        <v>75</v>
      </c>
      <c r="G844">
        <v>1</v>
      </c>
      <c r="H844" s="3">
        <v>1820</v>
      </c>
      <c r="I844" s="3">
        <v>1820</v>
      </c>
      <c r="J844" t="s">
        <v>76</v>
      </c>
      <c r="K844" t="s">
        <v>77</v>
      </c>
      <c r="L844" t="str">
        <f t="shared" si="13"/>
        <v>Monday</v>
      </c>
    </row>
    <row r="845" spans="1:12" ht="14.25" customHeight="1" x14ac:dyDescent="0.45">
      <c r="A845" t="s">
        <v>1097</v>
      </c>
      <c r="B845" s="2" t="s">
        <v>92</v>
      </c>
      <c r="C845" t="s">
        <v>100</v>
      </c>
      <c r="D845" t="s">
        <v>398</v>
      </c>
      <c r="E845" t="s">
        <v>475</v>
      </c>
      <c r="F845" t="s">
        <v>90</v>
      </c>
      <c r="G845">
        <v>1</v>
      </c>
      <c r="H845" s="3">
        <v>1730</v>
      </c>
      <c r="I845" s="3">
        <v>1730</v>
      </c>
      <c r="J845" t="s">
        <v>82</v>
      </c>
      <c r="K845" t="s">
        <v>77</v>
      </c>
      <c r="L845" t="str">
        <f t="shared" si="13"/>
        <v>Saturday</v>
      </c>
    </row>
    <row r="846" spans="1:12" ht="14.25" customHeight="1" x14ac:dyDescent="0.45">
      <c r="A846" t="s">
        <v>1032</v>
      </c>
      <c r="B846" s="2" t="s">
        <v>526</v>
      </c>
      <c r="C846" t="s">
        <v>80</v>
      </c>
      <c r="D846" t="s">
        <v>334</v>
      </c>
      <c r="E846" t="s">
        <v>527</v>
      </c>
      <c r="F846" t="s">
        <v>75</v>
      </c>
      <c r="G846">
        <v>1</v>
      </c>
      <c r="H846" s="3">
        <v>1900</v>
      </c>
      <c r="I846" s="3">
        <v>1900</v>
      </c>
      <c r="J846" t="s">
        <v>76</v>
      </c>
      <c r="K846" t="s">
        <v>93</v>
      </c>
      <c r="L846" t="str">
        <f t="shared" si="13"/>
        <v>Sunday</v>
      </c>
    </row>
    <row r="847" spans="1:12" ht="14.25" customHeight="1" x14ac:dyDescent="0.45">
      <c r="A847" t="s">
        <v>572</v>
      </c>
      <c r="B847" s="2" t="s">
        <v>544</v>
      </c>
      <c r="C847" t="s">
        <v>96</v>
      </c>
      <c r="D847" t="s">
        <v>196</v>
      </c>
      <c r="E847" t="s">
        <v>300</v>
      </c>
      <c r="F847" t="s">
        <v>81</v>
      </c>
      <c r="G847">
        <v>1</v>
      </c>
      <c r="H847" s="3">
        <v>4610</v>
      </c>
      <c r="I847" s="3">
        <v>4610</v>
      </c>
      <c r="J847" t="s">
        <v>82</v>
      </c>
      <c r="K847" t="s">
        <v>83</v>
      </c>
      <c r="L847" t="str">
        <f t="shared" si="13"/>
        <v>Sunday</v>
      </c>
    </row>
    <row r="848" spans="1:12" ht="14.25" customHeight="1" x14ac:dyDescent="0.45">
      <c r="A848" t="s">
        <v>677</v>
      </c>
      <c r="B848" s="2" t="s">
        <v>648</v>
      </c>
      <c r="C848" t="s">
        <v>89</v>
      </c>
      <c r="D848" t="s">
        <v>334</v>
      </c>
      <c r="E848" t="s">
        <v>335</v>
      </c>
      <c r="F848" t="s">
        <v>140</v>
      </c>
      <c r="G848">
        <v>1</v>
      </c>
      <c r="H848" s="3">
        <v>3940</v>
      </c>
      <c r="I848" s="3">
        <v>3940</v>
      </c>
      <c r="J848" t="s">
        <v>76</v>
      </c>
      <c r="K848" t="s">
        <v>93</v>
      </c>
      <c r="L848" t="str">
        <f t="shared" si="13"/>
        <v>Monday</v>
      </c>
    </row>
    <row r="849" spans="1:12" ht="14.25" customHeight="1" x14ac:dyDescent="0.45">
      <c r="A849" t="s">
        <v>248</v>
      </c>
      <c r="B849" s="2" t="s">
        <v>249</v>
      </c>
      <c r="C849" t="s">
        <v>96</v>
      </c>
      <c r="D849" t="s">
        <v>196</v>
      </c>
      <c r="E849" t="s">
        <v>197</v>
      </c>
      <c r="F849" t="s">
        <v>140</v>
      </c>
      <c r="G849">
        <v>2</v>
      </c>
      <c r="H849" s="3">
        <v>18840</v>
      </c>
      <c r="I849" s="3">
        <v>37680</v>
      </c>
      <c r="J849" t="s">
        <v>76</v>
      </c>
      <c r="K849" t="s">
        <v>93</v>
      </c>
      <c r="L849" t="str">
        <f t="shared" si="13"/>
        <v>Thursday</v>
      </c>
    </row>
    <row r="850" spans="1:12" ht="14.25" customHeight="1" x14ac:dyDescent="0.45">
      <c r="A850" t="s">
        <v>907</v>
      </c>
      <c r="B850" s="2" t="s">
        <v>103</v>
      </c>
      <c r="C850" t="s">
        <v>89</v>
      </c>
      <c r="D850" t="s">
        <v>472</v>
      </c>
      <c r="E850" t="s">
        <v>473</v>
      </c>
      <c r="F850" t="s">
        <v>140</v>
      </c>
      <c r="G850">
        <v>1</v>
      </c>
      <c r="H850" s="3">
        <v>2450</v>
      </c>
      <c r="I850" s="3">
        <v>2450</v>
      </c>
      <c r="J850" t="s">
        <v>76</v>
      </c>
      <c r="K850" t="s">
        <v>93</v>
      </c>
      <c r="L850" t="str">
        <f t="shared" si="13"/>
        <v>Thursday</v>
      </c>
    </row>
    <row r="851" spans="1:12" ht="14.25" customHeight="1" x14ac:dyDescent="0.45">
      <c r="A851" t="s">
        <v>1151</v>
      </c>
      <c r="B851" s="2" t="s">
        <v>347</v>
      </c>
      <c r="C851" t="s">
        <v>100</v>
      </c>
      <c r="D851" t="s">
        <v>334</v>
      </c>
      <c r="E851" t="s">
        <v>515</v>
      </c>
      <c r="F851" t="s">
        <v>86</v>
      </c>
      <c r="G851">
        <v>1</v>
      </c>
      <c r="H851" s="3">
        <v>1510</v>
      </c>
      <c r="I851" s="3">
        <v>1510</v>
      </c>
      <c r="J851" t="s">
        <v>76</v>
      </c>
      <c r="K851" t="s">
        <v>83</v>
      </c>
      <c r="L851" t="str">
        <f t="shared" si="13"/>
        <v>Wednesday</v>
      </c>
    </row>
    <row r="852" spans="1:12" ht="14.25" customHeight="1" x14ac:dyDescent="0.45">
      <c r="A852" t="s">
        <v>207</v>
      </c>
      <c r="B852" s="2" t="s">
        <v>208</v>
      </c>
      <c r="C852" t="s">
        <v>89</v>
      </c>
      <c r="D852" t="s">
        <v>73</v>
      </c>
      <c r="E852" t="s">
        <v>104</v>
      </c>
      <c r="F852" t="s">
        <v>140</v>
      </c>
      <c r="G852">
        <v>1</v>
      </c>
      <c r="H852" s="3">
        <v>53360</v>
      </c>
      <c r="I852" s="3">
        <v>53360</v>
      </c>
      <c r="J852" t="s">
        <v>76</v>
      </c>
      <c r="K852" t="s">
        <v>83</v>
      </c>
      <c r="L852" t="str">
        <f t="shared" si="13"/>
        <v>Wednesday</v>
      </c>
    </row>
    <row r="853" spans="1:12" ht="14.25" customHeight="1" x14ac:dyDescent="0.45">
      <c r="A853" t="s">
        <v>602</v>
      </c>
      <c r="B853" s="2" t="s">
        <v>502</v>
      </c>
      <c r="C853" t="s">
        <v>96</v>
      </c>
      <c r="D853" t="s">
        <v>196</v>
      </c>
      <c r="E853" t="s">
        <v>300</v>
      </c>
      <c r="F853" t="s">
        <v>81</v>
      </c>
      <c r="G853">
        <v>1</v>
      </c>
      <c r="H853" s="3">
        <v>4420</v>
      </c>
      <c r="I853" s="3">
        <v>4420</v>
      </c>
      <c r="J853" t="s">
        <v>76</v>
      </c>
      <c r="K853" t="s">
        <v>77</v>
      </c>
      <c r="L853" t="str">
        <f t="shared" si="13"/>
        <v>Sunday</v>
      </c>
    </row>
    <row r="854" spans="1:12" ht="14.25" customHeight="1" x14ac:dyDescent="0.45">
      <c r="A854" t="s">
        <v>454</v>
      </c>
      <c r="B854" s="2" t="s">
        <v>455</v>
      </c>
      <c r="C854" t="s">
        <v>72</v>
      </c>
      <c r="D854" t="s">
        <v>334</v>
      </c>
      <c r="E854" t="s">
        <v>402</v>
      </c>
      <c r="F854" t="s">
        <v>140</v>
      </c>
      <c r="G854">
        <v>2</v>
      </c>
      <c r="H854" s="3">
        <v>4230</v>
      </c>
      <c r="I854" s="3">
        <v>8460</v>
      </c>
      <c r="J854" t="s">
        <v>76</v>
      </c>
      <c r="K854" t="s">
        <v>77</v>
      </c>
      <c r="L854" t="str">
        <f t="shared" si="13"/>
        <v>Thursday</v>
      </c>
    </row>
    <row r="855" spans="1:12" ht="14.25" customHeight="1" x14ac:dyDescent="0.45">
      <c r="A855" t="s">
        <v>542</v>
      </c>
      <c r="B855" s="2" t="s">
        <v>158</v>
      </c>
      <c r="C855" t="s">
        <v>96</v>
      </c>
      <c r="D855" t="s">
        <v>398</v>
      </c>
      <c r="E855" t="s">
        <v>464</v>
      </c>
      <c r="F855" t="s">
        <v>97</v>
      </c>
      <c r="G855">
        <v>2</v>
      </c>
      <c r="H855" s="3">
        <v>2610</v>
      </c>
      <c r="I855" s="3">
        <v>5220</v>
      </c>
      <c r="J855" t="s">
        <v>76</v>
      </c>
      <c r="K855" t="s">
        <v>77</v>
      </c>
      <c r="L855" t="str">
        <f t="shared" si="13"/>
        <v>Friday</v>
      </c>
    </row>
    <row r="856" spans="1:12" ht="14.25" customHeight="1" x14ac:dyDescent="0.45">
      <c r="A856" t="s">
        <v>963</v>
      </c>
      <c r="B856" s="2" t="s">
        <v>428</v>
      </c>
      <c r="C856" t="s">
        <v>89</v>
      </c>
      <c r="D856" t="s">
        <v>398</v>
      </c>
      <c r="E856" t="s">
        <v>448</v>
      </c>
      <c r="F856" t="s">
        <v>123</v>
      </c>
      <c r="G856">
        <v>1</v>
      </c>
      <c r="H856" s="3">
        <v>2220</v>
      </c>
      <c r="I856" s="3">
        <v>2220</v>
      </c>
      <c r="J856" t="s">
        <v>76</v>
      </c>
      <c r="K856" t="s">
        <v>83</v>
      </c>
      <c r="L856" t="str">
        <f t="shared" si="13"/>
        <v>Friday</v>
      </c>
    </row>
    <row r="857" spans="1:12" ht="14.25" customHeight="1" x14ac:dyDescent="0.45">
      <c r="A857" t="s">
        <v>440</v>
      </c>
      <c r="B857" s="2" t="s">
        <v>269</v>
      </c>
      <c r="C857" t="s">
        <v>89</v>
      </c>
      <c r="D857" t="s">
        <v>73</v>
      </c>
      <c r="E857" t="s">
        <v>441</v>
      </c>
      <c r="F857" t="s">
        <v>131</v>
      </c>
      <c r="G857">
        <v>4</v>
      </c>
      <c r="H857" s="3">
        <v>2790</v>
      </c>
      <c r="I857" s="3">
        <v>11160</v>
      </c>
      <c r="J857" t="s">
        <v>76</v>
      </c>
      <c r="K857" t="s">
        <v>77</v>
      </c>
      <c r="L857" t="str">
        <f t="shared" si="13"/>
        <v>Sunday</v>
      </c>
    </row>
    <row r="858" spans="1:12" ht="14.25" customHeight="1" x14ac:dyDescent="0.45">
      <c r="A858" t="s">
        <v>1148</v>
      </c>
      <c r="B858" s="2" t="s">
        <v>585</v>
      </c>
      <c r="C858" t="s">
        <v>96</v>
      </c>
      <c r="D858" t="s">
        <v>334</v>
      </c>
      <c r="E858" t="s">
        <v>515</v>
      </c>
      <c r="F858" t="s">
        <v>131</v>
      </c>
      <c r="G858">
        <v>1</v>
      </c>
      <c r="H858" s="3">
        <v>1520</v>
      </c>
      <c r="I858" s="3">
        <v>1520</v>
      </c>
      <c r="J858" t="s">
        <v>76</v>
      </c>
      <c r="K858" t="s">
        <v>83</v>
      </c>
      <c r="L858" t="str">
        <f t="shared" si="13"/>
        <v>Saturday</v>
      </c>
    </row>
    <row r="859" spans="1:12" ht="14.25" customHeight="1" x14ac:dyDescent="0.45">
      <c r="A859" t="s">
        <v>1022</v>
      </c>
      <c r="B859" s="2" t="s">
        <v>291</v>
      </c>
      <c r="C859" t="s">
        <v>89</v>
      </c>
      <c r="D859" t="s">
        <v>472</v>
      </c>
      <c r="E859" t="s">
        <v>691</v>
      </c>
      <c r="F859" t="s">
        <v>75</v>
      </c>
      <c r="G859">
        <v>2</v>
      </c>
      <c r="H859" s="3">
        <v>970</v>
      </c>
      <c r="I859" s="3">
        <v>1940</v>
      </c>
      <c r="J859" t="s">
        <v>82</v>
      </c>
      <c r="K859" t="s">
        <v>83</v>
      </c>
      <c r="L859" t="str">
        <f t="shared" si="13"/>
        <v>Wednesday</v>
      </c>
    </row>
    <row r="860" spans="1:12" ht="14.25" customHeight="1" x14ac:dyDescent="0.45">
      <c r="A860" t="s">
        <v>661</v>
      </c>
      <c r="B860" s="2" t="s">
        <v>445</v>
      </c>
      <c r="C860" t="s">
        <v>89</v>
      </c>
      <c r="D860" t="s">
        <v>398</v>
      </c>
      <c r="E860" t="s">
        <v>462</v>
      </c>
      <c r="F860" t="s">
        <v>97</v>
      </c>
      <c r="G860">
        <v>2</v>
      </c>
      <c r="H860" s="3">
        <v>2080</v>
      </c>
      <c r="I860" s="3">
        <v>4160</v>
      </c>
      <c r="J860" t="s">
        <v>76</v>
      </c>
      <c r="K860" t="s">
        <v>83</v>
      </c>
      <c r="L860" t="str">
        <f t="shared" si="13"/>
        <v>Tuesday</v>
      </c>
    </row>
    <row r="861" spans="1:12" ht="14.25" customHeight="1" x14ac:dyDescent="0.45">
      <c r="A861" t="s">
        <v>801</v>
      </c>
      <c r="B861" s="2" t="s">
        <v>237</v>
      </c>
      <c r="C861" t="s">
        <v>89</v>
      </c>
      <c r="D861" t="s">
        <v>472</v>
      </c>
      <c r="E861" t="s">
        <v>497</v>
      </c>
      <c r="F861" t="s">
        <v>140</v>
      </c>
      <c r="G861">
        <v>1</v>
      </c>
      <c r="H861" s="3">
        <v>3130</v>
      </c>
      <c r="I861" s="3">
        <v>3130</v>
      </c>
      <c r="J861" t="s">
        <v>76</v>
      </c>
      <c r="K861" t="s">
        <v>93</v>
      </c>
      <c r="L861" t="str">
        <f t="shared" si="13"/>
        <v>Friday</v>
      </c>
    </row>
    <row r="862" spans="1:12" ht="14.25" customHeight="1" x14ac:dyDescent="0.45">
      <c r="A862" t="s">
        <v>618</v>
      </c>
      <c r="B862" s="2" t="s">
        <v>324</v>
      </c>
      <c r="C862" t="s">
        <v>80</v>
      </c>
      <c r="D862" t="s">
        <v>398</v>
      </c>
      <c r="E862" t="s">
        <v>462</v>
      </c>
      <c r="F862" t="s">
        <v>140</v>
      </c>
      <c r="G862">
        <v>2</v>
      </c>
      <c r="H862" s="3">
        <v>2180</v>
      </c>
      <c r="I862" s="3">
        <v>4360</v>
      </c>
      <c r="J862" t="s">
        <v>82</v>
      </c>
      <c r="K862" t="s">
        <v>93</v>
      </c>
      <c r="L862" t="str">
        <f t="shared" si="13"/>
        <v>Sunday</v>
      </c>
    </row>
    <row r="863" spans="1:12" ht="14.25" customHeight="1" x14ac:dyDescent="0.45">
      <c r="A863" t="s">
        <v>176</v>
      </c>
      <c r="B863" s="2" t="s">
        <v>177</v>
      </c>
      <c r="C863" t="s">
        <v>100</v>
      </c>
      <c r="D863" t="s">
        <v>73</v>
      </c>
      <c r="E863" t="s">
        <v>101</v>
      </c>
      <c r="F863" t="s">
        <v>90</v>
      </c>
      <c r="G863">
        <v>2</v>
      </c>
      <c r="H863" s="3">
        <v>41030</v>
      </c>
      <c r="I863" s="3">
        <v>82060</v>
      </c>
      <c r="J863" t="s">
        <v>82</v>
      </c>
      <c r="K863" t="s">
        <v>93</v>
      </c>
      <c r="L863" t="str">
        <f t="shared" si="13"/>
        <v>Tuesday</v>
      </c>
    </row>
    <row r="864" spans="1:12" ht="14.25" customHeight="1" x14ac:dyDescent="0.45">
      <c r="A864" t="s">
        <v>301</v>
      </c>
      <c r="B864" s="2" t="s">
        <v>169</v>
      </c>
      <c r="C864" t="s">
        <v>100</v>
      </c>
      <c r="D864" t="s">
        <v>196</v>
      </c>
      <c r="E864" t="s">
        <v>197</v>
      </c>
      <c r="F864" t="s">
        <v>81</v>
      </c>
      <c r="G864">
        <v>1</v>
      </c>
      <c r="H864" s="3">
        <v>18700</v>
      </c>
      <c r="I864" s="3">
        <v>18700</v>
      </c>
      <c r="J864" t="s">
        <v>76</v>
      </c>
      <c r="K864" t="s">
        <v>83</v>
      </c>
      <c r="L864" t="str">
        <f t="shared" si="13"/>
        <v>Saturday</v>
      </c>
    </row>
    <row r="865" spans="1:12" ht="14.25" customHeight="1" x14ac:dyDescent="0.45">
      <c r="A865" t="s">
        <v>452</v>
      </c>
      <c r="B865" s="2" t="s">
        <v>453</v>
      </c>
      <c r="C865" t="s">
        <v>80</v>
      </c>
      <c r="D865" t="s">
        <v>334</v>
      </c>
      <c r="E865" t="s">
        <v>402</v>
      </c>
      <c r="F865" t="s">
        <v>86</v>
      </c>
      <c r="G865">
        <v>2</v>
      </c>
      <c r="H865" s="3">
        <v>4320</v>
      </c>
      <c r="I865" s="3">
        <v>8640</v>
      </c>
      <c r="J865" t="s">
        <v>76</v>
      </c>
      <c r="K865" t="s">
        <v>83</v>
      </c>
      <c r="L865" t="str">
        <f t="shared" si="13"/>
        <v>Tuesday</v>
      </c>
    </row>
    <row r="866" spans="1:12" ht="14.25" customHeight="1" x14ac:dyDescent="0.45">
      <c r="A866" t="s">
        <v>1249</v>
      </c>
      <c r="B866" s="2" t="s">
        <v>156</v>
      </c>
      <c r="C866" t="s">
        <v>100</v>
      </c>
      <c r="D866" t="s">
        <v>472</v>
      </c>
      <c r="E866" t="s">
        <v>691</v>
      </c>
      <c r="F866" t="s">
        <v>131</v>
      </c>
      <c r="G866">
        <v>1</v>
      </c>
      <c r="H866" s="3">
        <v>940</v>
      </c>
      <c r="I866" s="3">
        <v>940</v>
      </c>
      <c r="J866" t="s">
        <v>82</v>
      </c>
      <c r="K866" t="s">
        <v>93</v>
      </c>
      <c r="L866" t="str">
        <f t="shared" si="13"/>
        <v>Monday</v>
      </c>
    </row>
    <row r="867" spans="1:12" ht="14.25" customHeight="1" x14ac:dyDescent="0.45">
      <c r="A867" t="s">
        <v>941</v>
      </c>
      <c r="B867" s="2" t="s">
        <v>439</v>
      </c>
      <c r="C867" t="s">
        <v>96</v>
      </c>
      <c r="D867" t="s">
        <v>472</v>
      </c>
      <c r="E867" t="s">
        <v>557</v>
      </c>
      <c r="F867" t="s">
        <v>97</v>
      </c>
      <c r="G867">
        <v>2</v>
      </c>
      <c r="H867" s="3">
        <v>1160</v>
      </c>
      <c r="I867" s="3">
        <v>2320</v>
      </c>
      <c r="J867" t="s">
        <v>82</v>
      </c>
      <c r="K867" t="s">
        <v>77</v>
      </c>
      <c r="L867" t="str">
        <f t="shared" si="13"/>
        <v>Saturday</v>
      </c>
    </row>
    <row r="868" spans="1:12" ht="14.25" customHeight="1" x14ac:dyDescent="0.45">
      <c r="A868" t="s">
        <v>586</v>
      </c>
      <c r="B868" s="2" t="s">
        <v>307</v>
      </c>
      <c r="C868" t="s">
        <v>96</v>
      </c>
      <c r="D868" t="s">
        <v>196</v>
      </c>
      <c r="E868" t="s">
        <v>300</v>
      </c>
      <c r="F868" t="s">
        <v>86</v>
      </c>
      <c r="G868">
        <v>1</v>
      </c>
      <c r="H868" s="3">
        <v>4560</v>
      </c>
      <c r="I868" s="3">
        <v>4560</v>
      </c>
      <c r="J868" t="s">
        <v>82</v>
      </c>
      <c r="K868" t="s">
        <v>83</v>
      </c>
      <c r="L868" t="str">
        <f t="shared" si="13"/>
        <v>Sunday</v>
      </c>
    </row>
    <row r="869" spans="1:12" ht="14.25" customHeight="1" x14ac:dyDescent="0.45">
      <c r="A869" t="s">
        <v>417</v>
      </c>
      <c r="B869" s="2" t="s">
        <v>381</v>
      </c>
      <c r="C869" t="s">
        <v>89</v>
      </c>
      <c r="D869" t="s">
        <v>73</v>
      </c>
      <c r="E869" t="s">
        <v>211</v>
      </c>
      <c r="F869" t="s">
        <v>90</v>
      </c>
      <c r="G869">
        <v>1</v>
      </c>
      <c r="H869" s="3">
        <v>12060</v>
      </c>
      <c r="I869" s="3">
        <v>12060</v>
      </c>
      <c r="J869" t="s">
        <v>76</v>
      </c>
      <c r="K869" t="s">
        <v>77</v>
      </c>
      <c r="L869" t="str">
        <f t="shared" si="13"/>
        <v>Sunday</v>
      </c>
    </row>
    <row r="870" spans="1:12" ht="14.25" customHeight="1" x14ac:dyDescent="0.45">
      <c r="A870" t="s">
        <v>456</v>
      </c>
      <c r="B870" s="2" t="s">
        <v>150</v>
      </c>
      <c r="C870" t="s">
        <v>72</v>
      </c>
      <c r="D870" t="s">
        <v>334</v>
      </c>
      <c r="E870" t="s">
        <v>402</v>
      </c>
      <c r="F870" t="s">
        <v>107</v>
      </c>
      <c r="G870">
        <v>2</v>
      </c>
      <c r="H870" s="3">
        <v>4210</v>
      </c>
      <c r="I870" s="3">
        <v>8420</v>
      </c>
      <c r="J870" t="s">
        <v>82</v>
      </c>
      <c r="K870" t="s">
        <v>83</v>
      </c>
      <c r="L870" t="str">
        <f t="shared" si="13"/>
        <v>Saturday</v>
      </c>
    </row>
    <row r="871" spans="1:12" ht="14.25" customHeight="1" x14ac:dyDescent="0.45">
      <c r="A871" t="s">
        <v>358</v>
      </c>
      <c r="B871" s="2" t="s">
        <v>359</v>
      </c>
      <c r="C871" t="s">
        <v>89</v>
      </c>
      <c r="D871" t="s">
        <v>196</v>
      </c>
      <c r="E871" t="s">
        <v>214</v>
      </c>
      <c r="F871" t="s">
        <v>131</v>
      </c>
      <c r="G871">
        <v>1</v>
      </c>
      <c r="H871" s="3">
        <v>15120</v>
      </c>
      <c r="I871" s="3">
        <v>15120</v>
      </c>
      <c r="J871" t="s">
        <v>76</v>
      </c>
      <c r="K871" t="s">
        <v>77</v>
      </c>
      <c r="L871" t="str">
        <f t="shared" si="13"/>
        <v>Sunday</v>
      </c>
    </row>
    <row r="872" spans="1:12" ht="14.25" customHeight="1" x14ac:dyDescent="0.45">
      <c r="A872" t="s">
        <v>861</v>
      </c>
      <c r="B872" s="2" t="s">
        <v>337</v>
      </c>
      <c r="C872" t="s">
        <v>96</v>
      </c>
      <c r="D872" t="s">
        <v>73</v>
      </c>
      <c r="E872" t="s">
        <v>441</v>
      </c>
      <c r="F872" t="s">
        <v>140</v>
      </c>
      <c r="G872">
        <v>1</v>
      </c>
      <c r="H872" s="3">
        <v>2730</v>
      </c>
      <c r="I872" s="3">
        <v>2730</v>
      </c>
      <c r="J872" t="s">
        <v>82</v>
      </c>
      <c r="K872" t="s">
        <v>83</v>
      </c>
      <c r="L872" t="str">
        <f t="shared" si="13"/>
        <v>Monday</v>
      </c>
    </row>
    <row r="873" spans="1:12" ht="14.25" customHeight="1" x14ac:dyDescent="0.45">
      <c r="A873" t="s">
        <v>1065</v>
      </c>
      <c r="B873" s="2" t="s">
        <v>436</v>
      </c>
      <c r="C873" t="s">
        <v>96</v>
      </c>
      <c r="D873" t="s">
        <v>398</v>
      </c>
      <c r="E873" t="s">
        <v>475</v>
      </c>
      <c r="F873" t="s">
        <v>97</v>
      </c>
      <c r="G873">
        <v>1</v>
      </c>
      <c r="H873" s="3">
        <v>1830</v>
      </c>
      <c r="I873" s="3">
        <v>1830</v>
      </c>
      <c r="J873" t="s">
        <v>82</v>
      </c>
      <c r="K873" t="s">
        <v>93</v>
      </c>
      <c r="L873" t="str">
        <f t="shared" si="13"/>
        <v>Saturday</v>
      </c>
    </row>
    <row r="874" spans="1:12" ht="14.25" customHeight="1" x14ac:dyDescent="0.45">
      <c r="A874" t="s">
        <v>669</v>
      </c>
      <c r="B874" s="2" t="s">
        <v>670</v>
      </c>
      <c r="C874" t="s">
        <v>72</v>
      </c>
      <c r="D874" t="s">
        <v>334</v>
      </c>
      <c r="E874" t="s">
        <v>402</v>
      </c>
      <c r="F874" t="s">
        <v>81</v>
      </c>
      <c r="G874">
        <v>1</v>
      </c>
      <c r="H874" s="3">
        <v>4080</v>
      </c>
      <c r="I874" s="3">
        <v>4080</v>
      </c>
      <c r="J874" t="s">
        <v>76</v>
      </c>
      <c r="K874" t="s">
        <v>77</v>
      </c>
      <c r="L874" t="str">
        <f t="shared" si="13"/>
        <v>Monday</v>
      </c>
    </row>
    <row r="875" spans="1:12" ht="14.25" customHeight="1" x14ac:dyDescent="0.45">
      <c r="A875" t="s">
        <v>147</v>
      </c>
      <c r="B875" s="2" t="s">
        <v>148</v>
      </c>
      <c r="C875" t="s">
        <v>96</v>
      </c>
      <c r="D875" t="s">
        <v>73</v>
      </c>
      <c r="E875" t="s">
        <v>74</v>
      </c>
      <c r="F875" t="s">
        <v>75</v>
      </c>
      <c r="G875">
        <v>1</v>
      </c>
      <c r="H875" s="3">
        <v>95350</v>
      </c>
      <c r="I875" s="3">
        <v>95350</v>
      </c>
      <c r="J875" t="s">
        <v>82</v>
      </c>
      <c r="K875" t="s">
        <v>83</v>
      </c>
      <c r="L875" t="str">
        <f t="shared" si="13"/>
        <v>Sunday</v>
      </c>
    </row>
    <row r="876" spans="1:12" ht="14.25" customHeight="1" x14ac:dyDescent="0.45">
      <c r="A876" t="s">
        <v>1047</v>
      </c>
      <c r="B876" s="2" t="s">
        <v>276</v>
      </c>
      <c r="C876" t="s">
        <v>96</v>
      </c>
      <c r="D876" t="s">
        <v>334</v>
      </c>
      <c r="E876" t="s">
        <v>527</v>
      </c>
      <c r="F876" t="s">
        <v>90</v>
      </c>
      <c r="G876">
        <v>1</v>
      </c>
      <c r="H876" s="3">
        <v>1870</v>
      </c>
      <c r="I876" s="3">
        <v>1870</v>
      </c>
      <c r="J876" t="s">
        <v>82</v>
      </c>
      <c r="K876" t="s">
        <v>83</v>
      </c>
      <c r="L876" t="str">
        <f t="shared" si="13"/>
        <v>Friday</v>
      </c>
    </row>
    <row r="877" spans="1:12" ht="14.25" customHeight="1" x14ac:dyDescent="0.45">
      <c r="A877" t="s">
        <v>1228</v>
      </c>
      <c r="B877" s="2" t="s">
        <v>122</v>
      </c>
      <c r="C877" t="s">
        <v>100</v>
      </c>
      <c r="D877" t="s">
        <v>472</v>
      </c>
      <c r="E877" t="s">
        <v>691</v>
      </c>
      <c r="F877" t="s">
        <v>117</v>
      </c>
      <c r="G877">
        <v>1</v>
      </c>
      <c r="H877" s="3">
        <v>990</v>
      </c>
      <c r="I877" s="3">
        <v>990</v>
      </c>
      <c r="J877" t="s">
        <v>76</v>
      </c>
      <c r="K877" t="s">
        <v>83</v>
      </c>
      <c r="L877" t="str">
        <f t="shared" si="13"/>
        <v>Friday</v>
      </c>
    </row>
    <row r="878" spans="1:12" ht="14.25" customHeight="1" x14ac:dyDescent="0.45">
      <c r="A878" t="s">
        <v>782</v>
      </c>
      <c r="B878" s="2" t="s">
        <v>154</v>
      </c>
      <c r="C878" t="s">
        <v>72</v>
      </c>
      <c r="D878" t="s">
        <v>398</v>
      </c>
      <c r="E878" t="s">
        <v>399</v>
      </c>
      <c r="F878" t="s">
        <v>81</v>
      </c>
      <c r="G878">
        <v>1</v>
      </c>
      <c r="H878" s="3">
        <v>3170</v>
      </c>
      <c r="I878" s="3">
        <v>3170</v>
      </c>
      <c r="J878" t="s">
        <v>76</v>
      </c>
      <c r="K878" t="s">
        <v>83</v>
      </c>
      <c r="L878" t="str">
        <f t="shared" si="13"/>
        <v>Wednesday</v>
      </c>
    </row>
    <row r="879" spans="1:12" ht="14.25" customHeight="1" x14ac:dyDescent="0.45">
      <c r="A879" t="s">
        <v>684</v>
      </c>
      <c r="B879" s="2" t="s">
        <v>422</v>
      </c>
      <c r="C879" t="s">
        <v>100</v>
      </c>
      <c r="D879" t="s">
        <v>334</v>
      </c>
      <c r="E879" t="s">
        <v>335</v>
      </c>
      <c r="F879" t="s">
        <v>123</v>
      </c>
      <c r="G879">
        <v>1</v>
      </c>
      <c r="H879" s="3">
        <v>3890</v>
      </c>
      <c r="I879" s="3">
        <v>3890</v>
      </c>
      <c r="J879" t="s">
        <v>76</v>
      </c>
      <c r="K879" t="s">
        <v>83</v>
      </c>
      <c r="L879" t="str">
        <f t="shared" si="13"/>
        <v>Wednesday</v>
      </c>
    </row>
    <row r="880" spans="1:12" ht="14.25" customHeight="1" x14ac:dyDescent="0.45">
      <c r="A880" t="s">
        <v>688</v>
      </c>
      <c r="B880" s="2" t="s">
        <v>127</v>
      </c>
      <c r="C880" t="s">
        <v>89</v>
      </c>
      <c r="D880" t="s">
        <v>334</v>
      </c>
      <c r="E880" t="s">
        <v>335</v>
      </c>
      <c r="F880" t="s">
        <v>97</v>
      </c>
      <c r="G880">
        <v>1</v>
      </c>
      <c r="H880" s="3">
        <v>3830</v>
      </c>
      <c r="I880" s="3">
        <v>3830</v>
      </c>
      <c r="J880" t="s">
        <v>76</v>
      </c>
      <c r="K880" t="s">
        <v>93</v>
      </c>
      <c r="L880" t="str">
        <f t="shared" si="13"/>
        <v>Saturday</v>
      </c>
    </row>
    <row r="881" spans="1:12" ht="14.25" customHeight="1" x14ac:dyDescent="0.45">
      <c r="A881" t="s">
        <v>306</v>
      </c>
      <c r="B881" s="2" t="s">
        <v>307</v>
      </c>
      <c r="C881" t="s">
        <v>96</v>
      </c>
      <c r="D881" t="s">
        <v>196</v>
      </c>
      <c r="E881" t="s">
        <v>197</v>
      </c>
      <c r="F881" t="s">
        <v>123</v>
      </c>
      <c r="G881">
        <v>1</v>
      </c>
      <c r="H881" s="3">
        <v>18490</v>
      </c>
      <c r="I881" s="3">
        <v>18490</v>
      </c>
      <c r="J881" t="s">
        <v>76</v>
      </c>
      <c r="K881" t="s">
        <v>83</v>
      </c>
      <c r="L881" t="str">
        <f t="shared" si="13"/>
        <v>Sunday</v>
      </c>
    </row>
    <row r="882" spans="1:12" ht="14.25" customHeight="1" x14ac:dyDescent="0.45">
      <c r="A882" t="s">
        <v>1033</v>
      </c>
      <c r="B882" s="2" t="s">
        <v>156</v>
      </c>
      <c r="C882" t="s">
        <v>89</v>
      </c>
      <c r="D882" t="s">
        <v>472</v>
      </c>
      <c r="E882" t="s">
        <v>691</v>
      </c>
      <c r="F882" t="s">
        <v>86</v>
      </c>
      <c r="G882">
        <v>2</v>
      </c>
      <c r="H882" s="3">
        <v>950</v>
      </c>
      <c r="I882" s="3">
        <v>1900</v>
      </c>
      <c r="J882" t="s">
        <v>76</v>
      </c>
      <c r="K882" t="s">
        <v>93</v>
      </c>
      <c r="L882" t="str">
        <f t="shared" si="13"/>
        <v>Monday</v>
      </c>
    </row>
    <row r="883" spans="1:12" ht="14.25" customHeight="1" x14ac:dyDescent="0.45">
      <c r="A883" t="s">
        <v>1223</v>
      </c>
      <c r="B883" s="2" t="s">
        <v>125</v>
      </c>
      <c r="C883" t="s">
        <v>100</v>
      </c>
      <c r="D883" t="s">
        <v>472</v>
      </c>
      <c r="E883" t="s">
        <v>557</v>
      </c>
      <c r="F883" t="s">
        <v>75</v>
      </c>
      <c r="G883">
        <v>1</v>
      </c>
      <c r="H883" s="3">
        <v>1160</v>
      </c>
      <c r="I883" s="3">
        <v>1160</v>
      </c>
      <c r="J883" t="s">
        <v>82</v>
      </c>
      <c r="K883" t="s">
        <v>83</v>
      </c>
      <c r="L883" t="str">
        <f t="shared" si="13"/>
        <v>Friday</v>
      </c>
    </row>
    <row r="884" spans="1:12" ht="14.25" customHeight="1" x14ac:dyDescent="0.45">
      <c r="A884" t="s">
        <v>896</v>
      </c>
      <c r="B884" s="2" t="s">
        <v>597</v>
      </c>
      <c r="C884" t="s">
        <v>100</v>
      </c>
      <c r="D884" t="s">
        <v>472</v>
      </c>
      <c r="E884" t="s">
        <v>473</v>
      </c>
      <c r="F884" t="s">
        <v>75</v>
      </c>
      <c r="G884">
        <v>1</v>
      </c>
      <c r="H884" s="3">
        <v>2490</v>
      </c>
      <c r="I884" s="3">
        <v>2490</v>
      </c>
      <c r="J884" t="s">
        <v>82</v>
      </c>
      <c r="K884" t="s">
        <v>83</v>
      </c>
      <c r="L884" t="str">
        <f t="shared" si="13"/>
        <v>Tuesday</v>
      </c>
    </row>
    <row r="885" spans="1:12" ht="14.25" customHeight="1" x14ac:dyDescent="0.45">
      <c r="A885" t="s">
        <v>1245</v>
      </c>
      <c r="B885" s="2" t="s">
        <v>242</v>
      </c>
      <c r="C885" t="s">
        <v>96</v>
      </c>
      <c r="D885" t="s">
        <v>472</v>
      </c>
      <c r="E885" t="s">
        <v>691</v>
      </c>
      <c r="F885" t="s">
        <v>140</v>
      </c>
      <c r="G885">
        <v>1</v>
      </c>
      <c r="H885" s="3">
        <v>950</v>
      </c>
      <c r="I885" s="3">
        <v>950</v>
      </c>
      <c r="J885" t="s">
        <v>82</v>
      </c>
      <c r="K885" t="s">
        <v>77</v>
      </c>
      <c r="L885" t="str">
        <f t="shared" si="13"/>
        <v>Tuesday</v>
      </c>
    </row>
    <row r="886" spans="1:12" ht="14.25" customHeight="1" x14ac:dyDescent="0.45">
      <c r="A886" t="s">
        <v>70</v>
      </c>
      <c r="B886" s="2" t="s">
        <v>71</v>
      </c>
      <c r="C886" t="s">
        <v>72</v>
      </c>
      <c r="D886" t="s">
        <v>73</v>
      </c>
      <c r="E886" t="s">
        <v>74</v>
      </c>
      <c r="F886" t="s">
        <v>75</v>
      </c>
      <c r="G886">
        <v>4</v>
      </c>
      <c r="H886" s="3">
        <v>95560</v>
      </c>
      <c r="I886" s="3">
        <v>382240</v>
      </c>
      <c r="J886" t="s">
        <v>76</v>
      </c>
      <c r="K886" t="s">
        <v>77</v>
      </c>
      <c r="L886" t="str">
        <f t="shared" si="13"/>
        <v>Friday</v>
      </c>
    </row>
    <row r="887" spans="1:12" ht="14.25" customHeight="1" x14ac:dyDescent="0.45">
      <c r="A887" t="s">
        <v>1099</v>
      </c>
      <c r="B887" s="2" t="s">
        <v>791</v>
      </c>
      <c r="C887" t="s">
        <v>72</v>
      </c>
      <c r="D887" t="s">
        <v>472</v>
      </c>
      <c r="E887" t="s">
        <v>500</v>
      </c>
      <c r="F887" t="s">
        <v>140</v>
      </c>
      <c r="G887">
        <v>1</v>
      </c>
      <c r="H887" s="3">
        <v>1660</v>
      </c>
      <c r="I887" s="3">
        <v>1660</v>
      </c>
      <c r="J887" t="s">
        <v>82</v>
      </c>
      <c r="K887" t="s">
        <v>93</v>
      </c>
      <c r="L887" t="str">
        <f t="shared" si="13"/>
        <v>Friday</v>
      </c>
    </row>
    <row r="888" spans="1:12" ht="14.25" customHeight="1" x14ac:dyDescent="0.45">
      <c r="A888" t="s">
        <v>848</v>
      </c>
      <c r="B888" s="2" t="s">
        <v>221</v>
      </c>
      <c r="C888" t="s">
        <v>100</v>
      </c>
      <c r="D888" t="s">
        <v>73</v>
      </c>
      <c r="E888" t="s">
        <v>441</v>
      </c>
      <c r="F888" t="s">
        <v>117</v>
      </c>
      <c r="G888">
        <v>1</v>
      </c>
      <c r="H888" s="3">
        <v>2840</v>
      </c>
      <c r="I888" s="3">
        <v>2840</v>
      </c>
      <c r="J888" t="s">
        <v>76</v>
      </c>
      <c r="K888" t="s">
        <v>93</v>
      </c>
      <c r="L888" t="str">
        <f t="shared" si="13"/>
        <v>Saturday</v>
      </c>
    </row>
    <row r="889" spans="1:12" ht="14.25" customHeight="1" x14ac:dyDescent="0.45">
      <c r="A889" t="s">
        <v>692</v>
      </c>
      <c r="B889" s="2" t="s">
        <v>693</v>
      </c>
      <c r="C889" t="s">
        <v>96</v>
      </c>
      <c r="D889" t="s">
        <v>472</v>
      </c>
      <c r="E889" t="s">
        <v>691</v>
      </c>
      <c r="F889" t="s">
        <v>140</v>
      </c>
      <c r="G889">
        <v>4</v>
      </c>
      <c r="H889" s="3">
        <v>950</v>
      </c>
      <c r="I889" s="3">
        <v>3800</v>
      </c>
      <c r="J889" t="s">
        <v>82</v>
      </c>
      <c r="K889" t="s">
        <v>83</v>
      </c>
      <c r="L889" t="str">
        <f t="shared" si="13"/>
        <v>Friday</v>
      </c>
    </row>
    <row r="890" spans="1:12" ht="14.25" customHeight="1" x14ac:dyDescent="0.45">
      <c r="A890" t="s">
        <v>479</v>
      </c>
      <c r="B890" s="2" t="s">
        <v>281</v>
      </c>
      <c r="C890" t="s">
        <v>96</v>
      </c>
      <c r="D890" t="s">
        <v>73</v>
      </c>
      <c r="E890" t="s">
        <v>443</v>
      </c>
      <c r="F890" t="s">
        <v>90</v>
      </c>
      <c r="G890">
        <v>2</v>
      </c>
      <c r="H890" s="3">
        <v>3560</v>
      </c>
      <c r="I890" s="3">
        <v>7120</v>
      </c>
      <c r="J890" t="s">
        <v>76</v>
      </c>
      <c r="K890" t="s">
        <v>83</v>
      </c>
      <c r="L890" t="str">
        <f t="shared" si="13"/>
        <v>Sunday</v>
      </c>
    </row>
    <row r="891" spans="1:12" ht="14.25" customHeight="1" x14ac:dyDescent="0.45">
      <c r="A891" t="s">
        <v>1137</v>
      </c>
      <c r="B891" s="2" t="s">
        <v>550</v>
      </c>
      <c r="C891" t="s">
        <v>100</v>
      </c>
      <c r="D891" t="s">
        <v>472</v>
      </c>
      <c r="E891" t="s">
        <v>500</v>
      </c>
      <c r="F891" t="s">
        <v>86</v>
      </c>
      <c r="G891">
        <v>1</v>
      </c>
      <c r="H891" s="3">
        <v>1550</v>
      </c>
      <c r="I891" s="3">
        <v>1550</v>
      </c>
      <c r="J891" t="s">
        <v>76</v>
      </c>
      <c r="K891" t="s">
        <v>77</v>
      </c>
      <c r="L891" t="str">
        <f t="shared" si="13"/>
        <v>Thursday</v>
      </c>
    </row>
    <row r="892" spans="1:12" ht="14.25" customHeight="1" x14ac:dyDescent="0.45">
      <c r="A892" t="s">
        <v>519</v>
      </c>
      <c r="B892" s="2" t="s">
        <v>489</v>
      </c>
      <c r="C892" t="s">
        <v>100</v>
      </c>
      <c r="D892" t="s">
        <v>472</v>
      </c>
      <c r="E892" t="s">
        <v>497</v>
      </c>
      <c r="F892" t="s">
        <v>140</v>
      </c>
      <c r="G892">
        <v>2</v>
      </c>
      <c r="H892" s="3">
        <v>3070</v>
      </c>
      <c r="I892" s="3">
        <v>6140</v>
      </c>
      <c r="J892" t="s">
        <v>76</v>
      </c>
      <c r="K892" t="s">
        <v>83</v>
      </c>
      <c r="L892" t="str">
        <f t="shared" si="13"/>
        <v>Thursday</v>
      </c>
    </row>
    <row r="893" spans="1:12" ht="14.25" customHeight="1" x14ac:dyDescent="0.45">
      <c r="A893" t="s">
        <v>938</v>
      </c>
      <c r="B893" s="2" t="s">
        <v>513</v>
      </c>
      <c r="C893" t="s">
        <v>89</v>
      </c>
      <c r="D893" t="s">
        <v>472</v>
      </c>
      <c r="E893" t="s">
        <v>473</v>
      </c>
      <c r="F893" t="s">
        <v>86</v>
      </c>
      <c r="G893">
        <v>1</v>
      </c>
      <c r="H893" s="3">
        <v>2330</v>
      </c>
      <c r="I893" s="3">
        <v>2330</v>
      </c>
      <c r="J893" t="s">
        <v>76</v>
      </c>
      <c r="K893" t="s">
        <v>83</v>
      </c>
      <c r="L893" t="str">
        <f t="shared" si="13"/>
        <v>Friday</v>
      </c>
    </row>
    <row r="894" spans="1:12" ht="14.25" customHeight="1" x14ac:dyDescent="0.45">
      <c r="A894" t="s">
        <v>91</v>
      </c>
      <c r="B894" s="2" t="s">
        <v>92</v>
      </c>
      <c r="C894" t="s">
        <v>89</v>
      </c>
      <c r="D894" t="s">
        <v>73</v>
      </c>
      <c r="E894" t="s">
        <v>74</v>
      </c>
      <c r="F894" t="s">
        <v>90</v>
      </c>
      <c r="G894">
        <v>2</v>
      </c>
      <c r="H894" s="3">
        <v>92460</v>
      </c>
      <c r="I894" s="3">
        <v>184920</v>
      </c>
      <c r="J894" t="s">
        <v>76</v>
      </c>
      <c r="K894" t="s">
        <v>93</v>
      </c>
      <c r="L894" t="str">
        <f t="shared" si="13"/>
        <v>Saturday</v>
      </c>
    </row>
    <row r="895" spans="1:12" ht="14.25" customHeight="1" x14ac:dyDescent="0.45">
      <c r="A895" t="s">
        <v>908</v>
      </c>
      <c r="B895" s="2" t="s">
        <v>352</v>
      </c>
      <c r="C895" t="s">
        <v>72</v>
      </c>
      <c r="D895" t="s">
        <v>472</v>
      </c>
      <c r="E895" t="s">
        <v>473</v>
      </c>
      <c r="F895" t="s">
        <v>107</v>
      </c>
      <c r="G895">
        <v>1</v>
      </c>
      <c r="H895" s="3">
        <v>2450</v>
      </c>
      <c r="I895" s="3">
        <v>2450</v>
      </c>
      <c r="J895" t="s">
        <v>82</v>
      </c>
      <c r="K895" t="s">
        <v>83</v>
      </c>
      <c r="L895" t="str">
        <f t="shared" si="13"/>
        <v>Saturday</v>
      </c>
    </row>
    <row r="896" spans="1:12" ht="14.25" customHeight="1" x14ac:dyDescent="0.45">
      <c r="A896" t="s">
        <v>811</v>
      </c>
      <c r="B896" s="2" t="s">
        <v>190</v>
      </c>
      <c r="C896" t="s">
        <v>72</v>
      </c>
      <c r="D896" t="s">
        <v>398</v>
      </c>
      <c r="E896" t="s">
        <v>399</v>
      </c>
      <c r="F896" t="s">
        <v>107</v>
      </c>
      <c r="G896">
        <v>1</v>
      </c>
      <c r="H896" s="3">
        <v>3100</v>
      </c>
      <c r="I896" s="3">
        <v>3100</v>
      </c>
      <c r="J896" t="s">
        <v>76</v>
      </c>
      <c r="K896" t="s">
        <v>83</v>
      </c>
      <c r="L896" t="str">
        <f t="shared" si="13"/>
        <v>Tuesday</v>
      </c>
    </row>
    <row r="897" spans="1:12" ht="14.25" customHeight="1" x14ac:dyDescent="0.45">
      <c r="A897" t="s">
        <v>323</v>
      </c>
      <c r="B897" s="2" t="s">
        <v>324</v>
      </c>
      <c r="C897" t="s">
        <v>89</v>
      </c>
      <c r="D897" t="s">
        <v>196</v>
      </c>
      <c r="E897" t="s">
        <v>214</v>
      </c>
      <c r="F897" t="s">
        <v>86</v>
      </c>
      <c r="G897">
        <v>1</v>
      </c>
      <c r="H897" s="3">
        <v>15970</v>
      </c>
      <c r="I897" s="3">
        <v>15970</v>
      </c>
      <c r="J897" t="s">
        <v>82</v>
      </c>
      <c r="K897" t="s">
        <v>83</v>
      </c>
      <c r="L897" t="str">
        <f t="shared" si="13"/>
        <v>Sunday</v>
      </c>
    </row>
    <row r="898" spans="1:12" ht="14.25" customHeight="1" x14ac:dyDescent="0.45">
      <c r="A898" t="s">
        <v>772</v>
      </c>
      <c r="B898" s="2" t="s">
        <v>354</v>
      </c>
      <c r="C898" t="s">
        <v>96</v>
      </c>
      <c r="D898" t="s">
        <v>472</v>
      </c>
      <c r="E898" t="s">
        <v>497</v>
      </c>
      <c r="F898" t="s">
        <v>97</v>
      </c>
      <c r="G898">
        <v>1</v>
      </c>
      <c r="H898" s="3">
        <v>3190</v>
      </c>
      <c r="I898" s="3">
        <v>3190</v>
      </c>
      <c r="J898" t="s">
        <v>76</v>
      </c>
      <c r="K898" t="s">
        <v>93</v>
      </c>
      <c r="L898" t="str">
        <f t="shared" ref="L898:L958" si="14">TEXT(B898,"dddd")</f>
        <v>Thursday</v>
      </c>
    </row>
    <row r="899" spans="1:12" ht="14.25" customHeight="1" x14ac:dyDescent="0.45">
      <c r="A899" t="s">
        <v>447</v>
      </c>
      <c r="B899" s="2" t="s">
        <v>240</v>
      </c>
      <c r="C899" t="s">
        <v>100</v>
      </c>
      <c r="D899" t="s">
        <v>398</v>
      </c>
      <c r="E899" t="s">
        <v>448</v>
      </c>
      <c r="F899" t="s">
        <v>75</v>
      </c>
      <c r="G899">
        <v>4</v>
      </c>
      <c r="H899" s="3">
        <v>2270</v>
      </c>
      <c r="I899" s="3">
        <v>9080</v>
      </c>
      <c r="J899" t="s">
        <v>82</v>
      </c>
      <c r="K899" t="s">
        <v>83</v>
      </c>
      <c r="L899" t="str">
        <f t="shared" si="14"/>
        <v>Friday</v>
      </c>
    </row>
    <row r="900" spans="1:12" ht="14.25" customHeight="1" x14ac:dyDescent="0.45">
      <c r="A900" t="s">
        <v>749</v>
      </c>
      <c r="B900" s="2" t="s">
        <v>562</v>
      </c>
      <c r="C900" t="s">
        <v>80</v>
      </c>
      <c r="D900" t="s">
        <v>472</v>
      </c>
      <c r="E900" t="s">
        <v>500</v>
      </c>
      <c r="F900" t="s">
        <v>81</v>
      </c>
      <c r="G900">
        <v>2</v>
      </c>
      <c r="H900" s="3">
        <v>1640</v>
      </c>
      <c r="I900" s="3">
        <v>3280</v>
      </c>
      <c r="J900" t="s">
        <v>76</v>
      </c>
      <c r="K900" t="s">
        <v>93</v>
      </c>
      <c r="L900" t="str">
        <f t="shared" si="14"/>
        <v>Saturday</v>
      </c>
    </row>
    <row r="901" spans="1:12" ht="14.25" customHeight="1" x14ac:dyDescent="0.45">
      <c r="A901" t="s">
        <v>1048</v>
      </c>
      <c r="B901" s="2" t="s">
        <v>481</v>
      </c>
      <c r="C901" t="s">
        <v>72</v>
      </c>
      <c r="D901" t="s">
        <v>398</v>
      </c>
      <c r="E901" t="s">
        <v>475</v>
      </c>
      <c r="F901" t="s">
        <v>131</v>
      </c>
      <c r="G901">
        <v>1</v>
      </c>
      <c r="H901" s="3">
        <v>1870</v>
      </c>
      <c r="I901" s="3">
        <v>1870</v>
      </c>
      <c r="J901" t="s">
        <v>82</v>
      </c>
      <c r="K901" t="s">
        <v>93</v>
      </c>
      <c r="L901" t="str">
        <f t="shared" si="14"/>
        <v>Monday</v>
      </c>
    </row>
    <row r="902" spans="1:12" ht="14.25" customHeight="1" x14ac:dyDescent="0.45">
      <c r="A902" t="s">
        <v>643</v>
      </c>
      <c r="B902" s="2" t="s">
        <v>367</v>
      </c>
      <c r="C902" t="s">
        <v>96</v>
      </c>
      <c r="D902" t="s">
        <v>334</v>
      </c>
      <c r="E902" t="s">
        <v>402</v>
      </c>
      <c r="F902" t="s">
        <v>90</v>
      </c>
      <c r="G902">
        <v>1</v>
      </c>
      <c r="H902" s="3">
        <v>4230</v>
      </c>
      <c r="I902" s="3">
        <v>4230</v>
      </c>
      <c r="J902" t="s">
        <v>76</v>
      </c>
      <c r="K902" t="s">
        <v>77</v>
      </c>
      <c r="L902" t="str">
        <f t="shared" si="14"/>
        <v>Thursday</v>
      </c>
    </row>
    <row r="903" spans="1:12" ht="14.25" customHeight="1" x14ac:dyDescent="0.45">
      <c r="A903" t="s">
        <v>852</v>
      </c>
      <c r="B903" s="2" t="s">
        <v>271</v>
      </c>
      <c r="C903" t="s">
        <v>89</v>
      </c>
      <c r="D903" t="s">
        <v>73</v>
      </c>
      <c r="E903" t="s">
        <v>441</v>
      </c>
      <c r="F903" t="s">
        <v>123</v>
      </c>
      <c r="G903">
        <v>1</v>
      </c>
      <c r="H903" s="3">
        <v>2810</v>
      </c>
      <c r="I903" s="3">
        <v>2810</v>
      </c>
      <c r="J903" t="s">
        <v>82</v>
      </c>
      <c r="K903" t="s">
        <v>77</v>
      </c>
      <c r="L903" t="str">
        <f t="shared" si="14"/>
        <v>Tuesday</v>
      </c>
    </row>
    <row r="904" spans="1:12" ht="14.25" customHeight="1" x14ac:dyDescent="0.45">
      <c r="A904" t="s">
        <v>885</v>
      </c>
      <c r="B904" s="2" t="s">
        <v>381</v>
      </c>
      <c r="C904" t="s">
        <v>96</v>
      </c>
      <c r="D904" t="s">
        <v>398</v>
      </c>
      <c r="E904" t="s">
        <v>464</v>
      </c>
      <c r="F904" t="s">
        <v>97</v>
      </c>
      <c r="G904">
        <v>1</v>
      </c>
      <c r="H904" s="3">
        <v>2540</v>
      </c>
      <c r="I904" s="3">
        <v>2540</v>
      </c>
      <c r="J904" t="s">
        <v>76</v>
      </c>
      <c r="K904" t="s">
        <v>83</v>
      </c>
      <c r="L904" t="str">
        <f t="shared" si="14"/>
        <v>Sunday</v>
      </c>
    </row>
    <row r="905" spans="1:12" ht="14.25" customHeight="1" x14ac:dyDescent="0.45">
      <c r="A905" t="s">
        <v>1040</v>
      </c>
      <c r="B905" s="2" t="s">
        <v>646</v>
      </c>
      <c r="C905" t="s">
        <v>96</v>
      </c>
      <c r="D905" t="s">
        <v>334</v>
      </c>
      <c r="E905" t="s">
        <v>527</v>
      </c>
      <c r="F905" t="s">
        <v>86</v>
      </c>
      <c r="G905">
        <v>1</v>
      </c>
      <c r="H905" s="3">
        <v>1880</v>
      </c>
      <c r="I905" s="3">
        <v>1880</v>
      </c>
      <c r="J905" t="s">
        <v>82</v>
      </c>
      <c r="K905" t="s">
        <v>77</v>
      </c>
      <c r="L905" t="str">
        <f t="shared" si="14"/>
        <v>Monday</v>
      </c>
    </row>
    <row r="906" spans="1:12" ht="14.25" customHeight="1" x14ac:dyDescent="0.45">
      <c r="A906" t="s">
        <v>1034</v>
      </c>
      <c r="B906" s="2" t="s">
        <v>192</v>
      </c>
      <c r="C906" t="s">
        <v>96</v>
      </c>
      <c r="D906" t="s">
        <v>472</v>
      </c>
      <c r="E906" t="s">
        <v>691</v>
      </c>
      <c r="F906" t="s">
        <v>140</v>
      </c>
      <c r="G906">
        <v>2</v>
      </c>
      <c r="H906" s="3">
        <v>950</v>
      </c>
      <c r="I906" s="3">
        <v>1900</v>
      </c>
      <c r="J906" t="s">
        <v>76</v>
      </c>
      <c r="K906" t="s">
        <v>77</v>
      </c>
      <c r="L906" t="str">
        <f t="shared" si="14"/>
        <v>Saturday</v>
      </c>
    </row>
    <row r="907" spans="1:12" ht="14.25" customHeight="1" x14ac:dyDescent="0.45">
      <c r="A907" t="s">
        <v>212</v>
      </c>
      <c r="B907" s="2" t="s">
        <v>213</v>
      </c>
      <c r="C907" t="s">
        <v>72</v>
      </c>
      <c r="D907" t="s">
        <v>196</v>
      </c>
      <c r="E907" t="s">
        <v>214</v>
      </c>
      <c r="F907" t="s">
        <v>86</v>
      </c>
      <c r="G907">
        <v>3</v>
      </c>
      <c r="H907" s="3">
        <v>15160</v>
      </c>
      <c r="I907" s="3">
        <v>45480</v>
      </c>
      <c r="J907" t="s">
        <v>82</v>
      </c>
      <c r="K907" t="s">
        <v>93</v>
      </c>
      <c r="L907" t="str">
        <f t="shared" si="14"/>
        <v>Tuesday</v>
      </c>
    </row>
    <row r="908" spans="1:12" ht="14.25" customHeight="1" x14ac:dyDescent="0.45">
      <c r="A908" t="s">
        <v>735</v>
      </c>
      <c r="B908" s="2" t="s">
        <v>617</v>
      </c>
      <c r="C908" t="s">
        <v>96</v>
      </c>
      <c r="D908" t="s">
        <v>73</v>
      </c>
      <c r="E908" t="s">
        <v>443</v>
      </c>
      <c r="F908" t="s">
        <v>117</v>
      </c>
      <c r="G908">
        <v>1</v>
      </c>
      <c r="H908" s="3">
        <v>3490</v>
      </c>
      <c r="I908" s="3">
        <v>3490</v>
      </c>
      <c r="J908" t="s">
        <v>76</v>
      </c>
      <c r="K908" t="s">
        <v>77</v>
      </c>
      <c r="L908" t="str">
        <f t="shared" si="14"/>
        <v>Thursday</v>
      </c>
    </row>
    <row r="909" spans="1:12" ht="14.25" customHeight="1" x14ac:dyDescent="0.45">
      <c r="A909" t="s">
        <v>942</v>
      </c>
      <c r="B909" s="2" t="s">
        <v>113</v>
      </c>
      <c r="C909" t="s">
        <v>72</v>
      </c>
      <c r="D909" t="s">
        <v>472</v>
      </c>
      <c r="E909" t="s">
        <v>473</v>
      </c>
      <c r="F909" t="s">
        <v>123</v>
      </c>
      <c r="G909">
        <v>1</v>
      </c>
      <c r="H909" s="3">
        <v>2320</v>
      </c>
      <c r="I909" s="3">
        <v>2320</v>
      </c>
      <c r="J909" t="s">
        <v>82</v>
      </c>
      <c r="K909" t="s">
        <v>77</v>
      </c>
      <c r="L909" t="str">
        <f t="shared" si="14"/>
        <v>Sunday</v>
      </c>
    </row>
    <row r="910" spans="1:12" ht="14.25" customHeight="1" x14ac:dyDescent="0.45">
      <c r="A910" t="s">
        <v>824</v>
      </c>
      <c r="B910" s="2" t="s">
        <v>242</v>
      </c>
      <c r="C910" t="s">
        <v>80</v>
      </c>
      <c r="D910" t="s">
        <v>472</v>
      </c>
      <c r="E910" t="s">
        <v>497</v>
      </c>
      <c r="F910" t="s">
        <v>81</v>
      </c>
      <c r="G910">
        <v>1</v>
      </c>
      <c r="H910" s="3">
        <v>3070</v>
      </c>
      <c r="I910" s="3">
        <v>3070</v>
      </c>
      <c r="J910" t="s">
        <v>82</v>
      </c>
      <c r="K910" t="s">
        <v>77</v>
      </c>
      <c r="L910" t="str">
        <f t="shared" si="14"/>
        <v>Tuesday</v>
      </c>
    </row>
    <row r="911" spans="1:12" ht="14.25" customHeight="1" x14ac:dyDescent="0.45">
      <c r="A911" t="s">
        <v>483</v>
      </c>
      <c r="B911" s="2" t="s">
        <v>213</v>
      </c>
      <c r="C911" t="s">
        <v>89</v>
      </c>
      <c r="D911" t="s">
        <v>73</v>
      </c>
      <c r="E911" t="s">
        <v>443</v>
      </c>
      <c r="F911" t="s">
        <v>75</v>
      </c>
      <c r="G911">
        <v>2</v>
      </c>
      <c r="H911" s="3">
        <v>3490</v>
      </c>
      <c r="I911" s="3">
        <v>6980</v>
      </c>
      <c r="J911" t="s">
        <v>76</v>
      </c>
      <c r="K911" t="s">
        <v>77</v>
      </c>
      <c r="L911" t="str">
        <f t="shared" si="14"/>
        <v>Tuesday</v>
      </c>
    </row>
    <row r="912" spans="1:12" ht="14.25" customHeight="1" x14ac:dyDescent="0.45">
      <c r="A912" t="s">
        <v>1256</v>
      </c>
      <c r="B912" s="2" t="s">
        <v>569</v>
      </c>
      <c r="C912" t="s">
        <v>96</v>
      </c>
      <c r="D912" t="s">
        <v>472</v>
      </c>
      <c r="E912" t="s">
        <v>691</v>
      </c>
      <c r="F912" t="s">
        <v>81</v>
      </c>
      <c r="G912">
        <v>1</v>
      </c>
      <c r="H912" s="3">
        <v>910</v>
      </c>
      <c r="I912" s="3">
        <v>910</v>
      </c>
      <c r="J912" t="s">
        <v>76</v>
      </c>
      <c r="K912" t="s">
        <v>77</v>
      </c>
      <c r="L912" t="str">
        <f t="shared" si="14"/>
        <v>Tuesday</v>
      </c>
    </row>
    <row r="913" spans="1:12" ht="14.25" customHeight="1" x14ac:dyDescent="0.45">
      <c r="A913" t="s">
        <v>955</v>
      </c>
      <c r="B913" s="2" t="s">
        <v>171</v>
      </c>
      <c r="C913" t="s">
        <v>96</v>
      </c>
      <c r="D913" t="s">
        <v>398</v>
      </c>
      <c r="E913" t="s">
        <v>448</v>
      </c>
      <c r="F913" t="s">
        <v>140</v>
      </c>
      <c r="G913">
        <v>1</v>
      </c>
      <c r="H913" s="3">
        <v>2250</v>
      </c>
      <c r="I913" s="3">
        <v>2250</v>
      </c>
      <c r="J913" t="s">
        <v>76</v>
      </c>
      <c r="K913" t="s">
        <v>83</v>
      </c>
      <c r="L913" t="str">
        <f t="shared" si="14"/>
        <v>Thursday</v>
      </c>
    </row>
    <row r="914" spans="1:12" ht="14.25" customHeight="1" x14ac:dyDescent="0.45">
      <c r="A914" t="s">
        <v>893</v>
      </c>
      <c r="B914" s="2" t="s">
        <v>227</v>
      </c>
      <c r="C914" t="s">
        <v>100</v>
      </c>
      <c r="D914" t="s">
        <v>398</v>
      </c>
      <c r="E914" t="s">
        <v>464</v>
      </c>
      <c r="F914" t="s">
        <v>90</v>
      </c>
      <c r="G914">
        <v>1</v>
      </c>
      <c r="H914" s="3">
        <v>2510</v>
      </c>
      <c r="I914" s="3">
        <v>2510</v>
      </c>
      <c r="J914" t="s">
        <v>76</v>
      </c>
      <c r="K914" t="s">
        <v>83</v>
      </c>
      <c r="L914" t="str">
        <f t="shared" si="14"/>
        <v>Sunday</v>
      </c>
    </row>
    <row r="915" spans="1:12" ht="14.25" customHeight="1" x14ac:dyDescent="0.45">
      <c r="A915" t="s">
        <v>232</v>
      </c>
      <c r="B915" s="2" t="s">
        <v>79</v>
      </c>
      <c r="C915" t="s">
        <v>96</v>
      </c>
      <c r="D915" t="s">
        <v>73</v>
      </c>
      <c r="E915" t="s">
        <v>101</v>
      </c>
      <c r="F915" t="s">
        <v>123</v>
      </c>
      <c r="G915">
        <v>1</v>
      </c>
      <c r="H915" s="3">
        <v>42940</v>
      </c>
      <c r="I915" s="3">
        <v>42940</v>
      </c>
      <c r="J915" t="s">
        <v>76</v>
      </c>
      <c r="K915" t="s">
        <v>93</v>
      </c>
      <c r="L915" t="str">
        <f t="shared" si="14"/>
        <v>Thursday</v>
      </c>
    </row>
    <row r="916" spans="1:12" ht="14.25" customHeight="1" x14ac:dyDescent="0.45">
      <c r="A916" t="s">
        <v>652</v>
      </c>
      <c r="B916" s="2" t="s">
        <v>162</v>
      </c>
      <c r="C916" t="s">
        <v>89</v>
      </c>
      <c r="D916" t="s">
        <v>334</v>
      </c>
      <c r="E916" t="s">
        <v>402</v>
      </c>
      <c r="F916" t="s">
        <v>97</v>
      </c>
      <c r="G916">
        <v>1</v>
      </c>
      <c r="H916" s="3">
        <v>4190</v>
      </c>
      <c r="I916" s="3">
        <v>4190</v>
      </c>
      <c r="J916" t="s">
        <v>82</v>
      </c>
      <c r="K916" t="s">
        <v>93</v>
      </c>
      <c r="L916" t="str">
        <f t="shared" si="14"/>
        <v>Sunday</v>
      </c>
    </row>
    <row r="917" spans="1:12" ht="14.25" customHeight="1" x14ac:dyDescent="0.45">
      <c r="A917" t="s">
        <v>858</v>
      </c>
      <c r="B917" s="2" t="s">
        <v>369</v>
      </c>
      <c r="C917" t="s">
        <v>89</v>
      </c>
      <c r="D917" t="s">
        <v>73</v>
      </c>
      <c r="E917" t="s">
        <v>441</v>
      </c>
      <c r="F917" t="s">
        <v>75</v>
      </c>
      <c r="G917">
        <v>1</v>
      </c>
      <c r="H917" s="3">
        <v>2770</v>
      </c>
      <c r="I917" s="3">
        <v>2770</v>
      </c>
      <c r="J917" t="s">
        <v>76</v>
      </c>
      <c r="K917" t="s">
        <v>83</v>
      </c>
      <c r="L917" t="str">
        <f t="shared" si="14"/>
        <v>Monday</v>
      </c>
    </row>
    <row r="918" spans="1:12" ht="14.25" customHeight="1" x14ac:dyDescent="0.45">
      <c r="A918" t="s">
        <v>1162</v>
      </c>
      <c r="B918" s="2" t="s">
        <v>1086</v>
      </c>
      <c r="C918" t="s">
        <v>89</v>
      </c>
      <c r="D918" t="s">
        <v>334</v>
      </c>
      <c r="E918" t="s">
        <v>515</v>
      </c>
      <c r="F918" t="s">
        <v>123</v>
      </c>
      <c r="G918">
        <v>1</v>
      </c>
      <c r="H918" s="3">
        <v>1460</v>
      </c>
      <c r="I918" s="3">
        <v>1460</v>
      </c>
      <c r="J918" t="s">
        <v>76</v>
      </c>
      <c r="K918" t="s">
        <v>83</v>
      </c>
      <c r="L918" t="str">
        <f t="shared" si="14"/>
        <v>Thursday</v>
      </c>
    </row>
    <row r="919" spans="1:12" ht="14.25" customHeight="1" x14ac:dyDescent="0.45">
      <c r="A919" t="s">
        <v>1224</v>
      </c>
      <c r="B919" s="2" t="s">
        <v>552</v>
      </c>
      <c r="C919" t="s">
        <v>80</v>
      </c>
      <c r="D919" t="s">
        <v>472</v>
      </c>
      <c r="E919" t="s">
        <v>557</v>
      </c>
      <c r="F919" t="s">
        <v>97</v>
      </c>
      <c r="G919">
        <v>1</v>
      </c>
      <c r="H919" s="3">
        <v>1160</v>
      </c>
      <c r="I919" s="3">
        <v>1160</v>
      </c>
      <c r="J919" t="s">
        <v>82</v>
      </c>
      <c r="K919" t="s">
        <v>83</v>
      </c>
      <c r="L919" t="str">
        <f t="shared" si="14"/>
        <v>Saturday</v>
      </c>
    </row>
    <row r="920" spans="1:12" ht="14.25" customHeight="1" x14ac:dyDescent="0.45">
      <c r="A920" t="s">
        <v>254</v>
      </c>
      <c r="B920" s="2" t="s">
        <v>164</v>
      </c>
      <c r="C920" t="s">
        <v>89</v>
      </c>
      <c r="D920" t="s">
        <v>196</v>
      </c>
      <c r="E920" t="s">
        <v>197</v>
      </c>
      <c r="F920" t="s">
        <v>140</v>
      </c>
      <c r="G920">
        <v>2</v>
      </c>
      <c r="H920" s="3">
        <v>18510</v>
      </c>
      <c r="I920" s="3">
        <v>37020</v>
      </c>
      <c r="J920" t="s">
        <v>76</v>
      </c>
      <c r="K920" t="s">
        <v>93</v>
      </c>
      <c r="L920" t="str">
        <f t="shared" si="14"/>
        <v>Friday</v>
      </c>
    </row>
    <row r="921" spans="1:12" ht="14.25" customHeight="1" x14ac:dyDescent="0.45">
      <c r="A921" t="s">
        <v>598</v>
      </c>
      <c r="B921" s="2" t="s">
        <v>562</v>
      </c>
      <c r="C921" t="s">
        <v>96</v>
      </c>
      <c r="D921" t="s">
        <v>196</v>
      </c>
      <c r="E921" t="s">
        <v>300</v>
      </c>
      <c r="F921" t="s">
        <v>75</v>
      </c>
      <c r="G921">
        <v>1</v>
      </c>
      <c r="H921" s="3">
        <v>4450</v>
      </c>
      <c r="I921" s="3">
        <v>4450</v>
      </c>
      <c r="J921" t="s">
        <v>82</v>
      </c>
      <c r="K921" t="s">
        <v>83</v>
      </c>
      <c r="L921" t="str">
        <f t="shared" si="14"/>
        <v>Saturday</v>
      </c>
    </row>
    <row r="922" spans="1:12" ht="14.25" customHeight="1" x14ac:dyDescent="0.45">
      <c r="A922" t="s">
        <v>1109</v>
      </c>
      <c r="B922" s="2" t="s">
        <v>595</v>
      </c>
      <c r="C922" t="s">
        <v>96</v>
      </c>
      <c r="D922" t="s">
        <v>472</v>
      </c>
      <c r="E922" t="s">
        <v>500</v>
      </c>
      <c r="F922" t="s">
        <v>140</v>
      </c>
      <c r="G922">
        <v>1</v>
      </c>
      <c r="H922" s="3">
        <v>1630</v>
      </c>
      <c r="I922" s="3">
        <v>1630</v>
      </c>
      <c r="J922" t="s">
        <v>76</v>
      </c>
      <c r="K922" t="s">
        <v>77</v>
      </c>
      <c r="L922" t="str">
        <f t="shared" si="14"/>
        <v>Wednesday</v>
      </c>
    </row>
    <row r="923" spans="1:12" ht="14.25" customHeight="1" x14ac:dyDescent="0.45">
      <c r="A923" t="s">
        <v>1169</v>
      </c>
      <c r="B923" s="2" t="s">
        <v>164</v>
      </c>
      <c r="C923" t="s">
        <v>96</v>
      </c>
      <c r="D923" t="s">
        <v>472</v>
      </c>
      <c r="E923" t="s">
        <v>557</v>
      </c>
      <c r="F923" t="s">
        <v>140</v>
      </c>
      <c r="G923">
        <v>1</v>
      </c>
      <c r="H923" s="3">
        <v>1250</v>
      </c>
      <c r="I923" s="3">
        <v>1250</v>
      </c>
      <c r="J923" t="s">
        <v>76</v>
      </c>
      <c r="K923" t="s">
        <v>77</v>
      </c>
      <c r="L923" t="str">
        <f t="shared" si="14"/>
        <v>Friday</v>
      </c>
    </row>
    <row r="924" spans="1:12" ht="14.25" customHeight="1" x14ac:dyDescent="0.45">
      <c r="A924" t="s">
        <v>1240</v>
      </c>
      <c r="B924" s="2" t="s">
        <v>578</v>
      </c>
      <c r="C924" t="s">
        <v>96</v>
      </c>
      <c r="D924" t="s">
        <v>472</v>
      </c>
      <c r="E924" t="s">
        <v>691</v>
      </c>
      <c r="F924" t="s">
        <v>97</v>
      </c>
      <c r="G924">
        <v>1</v>
      </c>
      <c r="H924" s="3">
        <v>960</v>
      </c>
      <c r="I924" s="3">
        <v>960</v>
      </c>
      <c r="J924" t="s">
        <v>82</v>
      </c>
      <c r="K924" t="s">
        <v>83</v>
      </c>
      <c r="L924" t="str">
        <f t="shared" si="14"/>
        <v>Friday</v>
      </c>
    </row>
    <row r="925" spans="1:12" ht="14.25" customHeight="1" x14ac:dyDescent="0.45">
      <c r="A925" t="s">
        <v>960</v>
      </c>
      <c r="B925" s="2" t="s">
        <v>412</v>
      </c>
      <c r="C925" t="s">
        <v>96</v>
      </c>
      <c r="D925" t="s">
        <v>398</v>
      </c>
      <c r="E925" t="s">
        <v>448</v>
      </c>
      <c r="F925" t="s">
        <v>131</v>
      </c>
      <c r="G925">
        <v>1</v>
      </c>
      <c r="H925" s="3">
        <v>2230</v>
      </c>
      <c r="I925" s="3">
        <v>2230</v>
      </c>
      <c r="J925" t="s">
        <v>76</v>
      </c>
      <c r="K925" t="s">
        <v>77</v>
      </c>
      <c r="L925" t="str">
        <f t="shared" si="14"/>
        <v>Wednesday</v>
      </c>
    </row>
    <row r="926" spans="1:12" ht="14.25" customHeight="1" x14ac:dyDescent="0.45">
      <c r="A926" t="s">
        <v>605</v>
      </c>
      <c r="B926" s="2" t="s">
        <v>146</v>
      </c>
      <c r="C926" t="s">
        <v>100</v>
      </c>
      <c r="D926" t="s">
        <v>196</v>
      </c>
      <c r="E926" t="s">
        <v>300</v>
      </c>
      <c r="F926" t="s">
        <v>75</v>
      </c>
      <c r="G926">
        <v>1</v>
      </c>
      <c r="H926" s="3">
        <v>4410</v>
      </c>
      <c r="I926" s="3">
        <v>4410</v>
      </c>
      <c r="J926" t="s">
        <v>76</v>
      </c>
      <c r="K926" t="s">
        <v>77</v>
      </c>
      <c r="L926" t="str">
        <f t="shared" si="14"/>
        <v>Saturday</v>
      </c>
    </row>
    <row r="927" spans="1:12" ht="14.25" customHeight="1" x14ac:dyDescent="0.45">
      <c r="A927" t="s">
        <v>662</v>
      </c>
      <c r="B927" s="2" t="s">
        <v>646</v>
      </c>
      <c r="C927" t="s">
        <v>89</v>
      </c>
      <c r="D927" t="s">
        <v>334</v>
      </c>
      <c r="E927" t="s">
        <v>402</v>
      </c>
      <c r="F927" t="s">
        <v>90</v>
      </c>
      <c r="G927">
        <v>1</v>
      </c>
      <c r="H927" s="3">
        <v>4150</v>
      </c>
      <c r="I927" s="3">
        <v>4150</v>
      </c>
      <c r="J927" t="s">
        <v>82</v>
      </c>
      <c r="K927" t="s">
        <v>83</v>
      </c>
      <c r="L927" t="str">
        <f t="shared" si="14"/>
        <v>Monday</v>
      </c>
    </row>
    <row r="928" spans="1:12" ht="14.25" customHeight="1" x14ac:dyDescent="0.45">
      <c r="A928" t="s">
        <v>630</v>
      </c>
      <c r="B928" s="2" t="s">
        <v>258</v>
      </c>
      <c r="C928" t="s">
        <v>100</v>
      </c>
      <c r="D928" t="s">
        <v>334</v>
      </c>
      <c r="E928" t="s">
        <v>402</v>
      </c>
      <c r="F928" t="s">
        <v>75</v>
      </c>
      <c r="G928">
        <v>1</v>
      </c>
      <c r="H928" s="3">
        <v>4290</v>
      </c>
      <c r="I928" s="3">
        <v>4290</v>
      </c>
      <c r="J928" t="s">
        <v>76</v>
      </c>
      <c r="K928" t="s">
        <v>83</v>
      </c>
      <c r="L928" t="str">
        <f t="shared" si="14"/>
        <v>Friday</v>
      </c>
    </row>
    <row r="929" spans="1:12" ht="14.25" customHeight="1" x14ac:dyDescent="0.45">
      <c r="A929" t="s">
        <v>375</v>
      </c>
      <c r="B929" s="2" t="s">
        <v>376</v>
      </c>
      <c r="C929" t="s">
        <v>72</v>
      </c>
      <c r="D929" t="s">
        <v>196</v>
      </c>
      <c r="E929" t="s">
        <v>246</v>
      </c>
      <c r="F929" t="s">
        <v>97</v>
      </c>
      <c r="G929">
        <v>1</v>
      </c>
      <c r="H929" s="3">
        <v>13900</v>
      </c>
      <c r="I929" s="3">
        <v>13900</v>
      </c>
      <c r="J929" t="s">
        <v>76</v>
      </c>
      <c r="K929" t="s">
        <v>93</v>
      </c>
      <c r="L929" t="str">
        <f t="shared" si="14"/>
        <v>Friday</v>
      </c>
    </row>
    <row r="930" spans="1:12" ht="14.25" customHeight="1" x14ac:dyDescent="0.45">
      <c r="A930" t="s">
        <v>863</v>
      </c>
      <c r="B930" s="2" t="s">
        <v>88</v>
      </c>
      <c r="C930" t="s">
        <v>72</v>
      </c>
      <c r="D930" t="s">
        <v>398</v>
      </c>
      <c r="E930" t="s">
        <v>464</v>
      </c>
      <c r="F930" t="s">
        <v>140</v>
      </c>
      <c r="G930">
        <v>1</v>
      </c>
      <c r="H930" s="3">
        <v>2700</v>
      </c>
      <c r="I930" s="3">
        <v>2700</v>
      </c>
      <c r="J930" t="s">
        <v>82</v>
      </c>
      <c r="K930" t="s">
        <v>93</v>
      </c>
      <c r="L930" t="str">
        <f t="shared" si="14"/>
        <v>Wednesday</v>
      </c>
    </row>
    <row r="931" spans="1:12" ht="14.25" customHeight="1" x14ac:dyDescent="0.45">
      <c r="A931" t="s">
        <v>574</v>
      </c>
      <c r="B931" s="2" t="s">
        <v>166</v>
      </c>
      <c r="C931" t="s">
        <v>72</v>
      </c>
      <c r="D931" t="s">
        <v>472</v>
      </c>
      <c r="E931" t="s">
        <v>557</v>
      </c>
      <c r="F931" t="s">
        <v>140</v>
      </c>
      <c r="G931">
        <v>4</v>
      </c>
      <c r="H931" s="3">
        <v>1150</v>
      </c>
      <c r="I931" s="3">
        <v>4600</v>
      </c>
      <c r="J931" t="s">
        <v>82</v>
      </c>
      <c r="K931" t="s">
        <v>93</v>
      </c>
      <c r="L931" t="str">
        <f t="shared" si="14"/>
        <v>Friday</v>
      </c>
    </row>
    <row r="932" spans="1:12" ht="14.25" customHeight="1" x14ac:dyDescent="0.45">
      <c r="A932" t="s">
        <v>252</v>
      </c>
      <c r="B932" s="2" t="s">
        <v>253</v>
      </c>
      <c r="C932" t="s">
        <v>80</v>
      </c>
      <c r="D932" t="s">
        <v>196</v>
      </c>
      <c r="E932" t="s">
        <v>197</v>
      </c>
      <c r="F932" t="s">
        <v>131</v>
      </c>
      <c r="G932">
        <v>2</v>
      </c>
      <c r="H932" s="3">
        <v>18580</v>
      </c>
      <c r="I932" s="3">
        <v>37160</v>
      </c>
      <c r="J932" t="s">
        <v>82</v>
      </c>
      <c r="K932" t="s">
        <v>93</v>
      </c>
      <c r="L932" t="str">
        <f t="shared" si="14"/>
        <v>Friday</v>
      </c>
    </row>
    <row r="933" spans="1:12" ht="14.25" customHeight="1" x14ac:dyDescent="0.45">
      <c r="A933" t="s">
        <v>783</v>
      </c>
      <c r="B933" s="2" t="s">
        <v>412</v>
      </c>
      <c r="C933" t="s">
        <v>96</v>
      </c>
      <c r="D933" t="s">
        <v>398</v>
      </c>
      <c r="E933" t="s">
        <v>399</v>
      </c>
      <c r="F933" t="s">
        <v>97</v>
      </c>
      <c r="G933">
        <v>1</v>
      </c>
      <c r="H933" s="3">
        <v>3170</v>
      </c>
      <c r="I933" s="3">
        <v>3170</v>
      </c>
      <c r="J933" t="s">
        <v>76</v>
      </c>
      <c r="K933" t="s">
        <v>83</v>
      </c>
      <c r="L933" t="str">
        <f t="shared" si="14"/>
        <v>Wednesday</v>
      </c>
    </row>
    <row r="934" spans="1:12" ht="14.25" customHeight="1" x14ac:dyDescent="0.45">
      <c r="A934" t="s">
        <v>778</v>
      </c>
      <c r="B934" s="2" t="s">
        <v>617</v>
      </c>
      <c r="C934" t="s">
        <v>72</v>
      </c>
      <c r="D934" t="s">
        <v>472</v>
      </c>
      <c r="E934" t="s">
        <v>497</v>
      </c>
      <c r="F934" t="s">
        <v>86</v>
      </c>
      <c r="G934">
        <v>1</v>
      </c>
      <c r="H934" s="3">
        <v>3180</v>
      </c>
      <c r="I934" s="3">
        <v>3180</v>
      </c>
      <c r="J934" t="s">
        <v>76</v>
      </c>
      <c r="K934" t="s">
        <v>77</v>
      </c>
      <c r="L934" t="str">
        <f t="shared" si="14"/>
        <v>Thursday</v>
      </c>
    </row>
    <row r="935" spans="1:12" ht="14.25" customHeight="1" x14ac:dyDescent="0.45">
      <c r="A935" t="s">
        <v>825</v>
      </c>
      <c r="B935" s="2" t="s">
        <v>127</v>
      </c>
      <c r="C935" t="s">
        <v>89</v>
      </c>
      <c r="D935" t="s">
        <v>472</v>
      </c>
      <c r="E935" t="s">
        <v>497</v>
      </c>
      <c r="F935" t="s">
        <v>86</v>
      </c>
      <c r="G935">
        <v>1</v>
      </c>
      <c r="H935" s="3">
        <v>3070</v>
      </c>
      <c r="I935" s="3">
        <v>3070</v>
      </c>
      <c r="J935" t="s">
        <v>82</v>
      </c>
      <c r="K935" t="s">
        <v>83</v>
      </c>
      <c r="L935" t="str">
        <f t="shared" si="14"/>
        <v>Saturday</v>
      </c>
    </row>
    <row r="936" spans="1:12" ht="14.25" customHeight="1" x14ac:dyDescent="0.45">
      <c r="A936" t="s">
        <v>1074</v>
      </c>
      <c r="B936" s="2" t="s">
        <v>414</v>
      </c>
      <c r="C936" t="s">
        <v>96</v>
      </c>
      <c r="D936" t="s">
        <v>398</v>
      </c>
      <c r="E936" t="s">
        <v>475</v>
      </c>
      <c r="F936" t="s">
        <v>123</v>
      </c>
      <c r="G936">
        <v>1</v>
      </c>
      <c r="H936" s="3">
        <v>1810</v>
      </c>
      <c r="I936" s="3">
        <v>1810</v>
      </c>
      <c r="J936" t="s">
        <v>82</v>
      </c>
      <c r="K936" t="s">
        <v>83</v>
      </c>
      <c r="L936" t="str">
        <f t="shared" si="14"/>
        <v>Friday</v>
      </c>
    </row>
    <row r="937" spans="1:12" ht="14.25" customHeight="1" x14ac:dyDescent="0.45">
      <c r="A937" t="s">
        <v>209</v>
      </c>
      <c r="B937" s="2" t="s">
        <v>210</v>
      </c>
      <c r="C937" t="s">
        <v>89</v>
      </c>
      <c r="D937" t="s">
        <v>73</v>
      </c>
      <c r="E937" t="s">
        <v>211</v>
      </c>
      <c r="F937" t="s">
        <v>131</v>
      </c>
      <c r="G937">
        <v>4</v>
      </c>
      <c r="H937" s="3">
        <v>12360</v>
      </c>
      <c r="I937" s="3">
        <v>49440</v>
      </c>
      <c r="J937" t="s">
        <v>82</v>
      </c>
      <c r="K937" t="s">
        <v>83</v>
      </c>
      <c r="L937" t="str">
        <f t="shared" si="14"/>
        <v>Thursday</v>
      </c>
    </row>
    <row r="938" spans="1:12" ht="14.25" customHeight="1" x14ac:dyDescent="0.45">
      <c r="A938" t="s">
        <v>1131</v>
      </c>
      <c r="B938" s="2" t="s">
        <v>583</v>
      </c>
      <c r="C938" t="s">
        <v>96</v>
      </c>
      <c r="D938" t="s">
        <v>334</v>
      </c>
      <c r="E938" t="s">
        <v>515</v>
      </c>
      <c r="F938" t="s">
        <v>81</v>
      </c>
      <c r="G938">
        <v>1</v>
      </c>
      <c r="H938" s="3">
        <v>1560</v>
      </c>
      <c r="I938" s="3">
        <v>1560</v>
      </c>
      <c r="J938" t="s">
        <v>82</v>
      </c>
      <c r="K938" t="s">
        <v>93</v>
      </c>
      <c r="L938" t="str">
        <f t="shared" si="14"/>
        <v>Wednesday</v>
      </c>
    </row>
    <row r="939" spans="1:12" ht="14.25" customHeight="1" x14ac:dyDescent="0.45">
      <c r="A939" t="s">
        <v>1225</v>
      </c>
      <c r="B939" s="2" t="s">
        <v>278</v>
      </c>
      <c r="C939" t="s">
        <v>100</v>
      </c>
      <c r="D939" t="s">
        <v>472</v>
      </c>
      <c r="E939" t="s">
        <v>557</v>
      </c>
      <c r="F939" t="s">
        <v>107</v>
      </c>
      <c r="G939">
        <v>1</v>
      </c>
      <c r="H939" s="3">
        <v>1160</v>
      </c>
      <c r="I939" s="3">
        <v>1160</v>
      </c>
      <c r="J939" t="s">
        <v>76</v>
      </c>
      <c r="K939" t="s">
        <v>83</v>
      </c>
      <c r="L939" t="str">
        <f t="shared" si="14"/>
        <v>Wednesday</v>
      </c>
    </row>
    <row r="940" spans="1:12" ht="14.25" customHeight="1" x14ac:dyDescent="0.45">
      <c r="A940" t="s">
        <v>539</v>
      </c>
      <c r="B940" s="2" t="s">
        <v>540</v>
      </c>
      <c r="C940" t="s">
        <v>72</v>
      </c>
      <c r="D940" t="s">
        <v>398</v>
      </c>
      <c r="E940" t="s">
        <v>464</v>
      </c>
      <c r="F940" t="s">
        <v>81</v>
      </c>
      <c r="G940">
        <v>2</v>
      </c>
      <c r="H940" s="3">
        <v>2690</v>
      </c>
      <c r="I940" s="3">
        <v>5380</v>
      </c>
      <c r="J940" t="s">
        <v>76</v>
      </c>
      <c r="K940" t="s">
        <v>83</v>
      </c>
      <c r="L940" t="str">
        <f t="shared" si="14"/>
        <v>Monday</v>
      </c>
    </row>
    <row r="941" spans="1:12" ht="14.25" customHeight="1" x14ac:dyDescent="0.45">
      <c r="A941" t="s">
        <v>762</v>
      </c>
      <c r="B941" s="2" t="s">
        <v>175</v>
      </c>
      <c r="C941" t="s">
        <v>100</v>
      </c>
      <c r="D941" t="s">
        <v>398</v>
      </c>
      <c r="E941" t="s">
        <v>399</v>
      </c>
      <c r="F941" t="s">
        <v>90</v>
      </c>
      <c r="G941">
        <v>1</v>
      </c>
      <c r="H941" s="3">
        <v>3220</v>
      </c>
      <c r="I941" s="3">
        <v>3220</v>
      </c>
      <c r="J941" t="s">
        <v>76</v>
      </c>
      <c r="K941" t="s">
        <v>83</v>
      </c>
      <c r="L941" t="str">
        <f t="shared" si="14"/>
        <v>Saturday</v>
      </c>
    </row>
    <row r="942" spans="1:12" ht="14.25" customHeight="1" x14ac:dyDescent="0.45">
      <c r="A942" t="s">
        <v>1152</v>
      </c>
      <c r="B942" s="2" t="s">
        <v>326</v>
      </c>
      <c r="C942" t="s">
        <v>72</v>
      </c>
      <c r="D942" t="s">
        <v>334</v>
      </c>
      <c r="E942" t="s">
        <v>515</v>
      </c>
      <c r="F942" t="s">
        <v>140</v>
      </c>
      <c r="G942">
        <v>1</v>
      </c>
      <c r="H942" s="3">
        <v>1510</v>
      </c>
      <c r="I942" s="3">
        <v>1510</v>
      </c>
      <c r="J942" t="s">
        <v>76</v>
      </c>
      <c r="K942" t="s">
        <v>83</v>
      </c>
      <c r="L942" t="str">
        <f t="shared" si="14"/>
        <v>Saturday</v>
      </c>
    </row>
    <row r="943" spans="1:12" ht="14.25" customHeight="1" x14ac:dyDescent="0.45">
      <c r="A943" t="s">
        <v>1053</v>
      </c>
      <c r="B943" s="2" t="s">
        <v>298</v>
      </c>
      <c r="C943" t="s">
        <v>72</v>
      </c>
      <c r="D943" t="s">
        <v>398</v>
      </c>
      <c r="E943" t="s">
        <v>475</v>
      </c>
      <c r="F943" t="s">
        <v>117</v>
      </c>
      <c r="G943">
        <v>1</v>
      </c>
      <c r="H943" s="3">
        <v>1860</v>
      </c>
      <c r="I943" s="3">
        <v>1860</v>
      </c>
      <c r="J943" t="s">
        <v>76</v>
      </c>
      <c r="K943" t="s">
        <v>93</v>
      </c>
      <c r="L943" t="str">
        <f t="shared" si="14"/>
        <v>Friday</v>
      </c>
    </row>
    <row r="944" spans="1:12" ht="14.25" customHeight="1" x14ac:dyDescent="0.45">
      <c r="A944" t="s">
        <v>752</v>
      </c>
      <c r="B944" s="2" t="s">
        <v>667</v>
      </c>
      <c r="C944" t="s">
        <v>89</v>
      </c>
      <c r="D944" t="s">
        <v>398</v>
      </c>
      <c r="E944" t="s">
        <v>399</v>
      </c>
      <c r="F944" t="s">
        <v>75</v>
      </c>
      <c r="G944">
        <v>1</v>
      </c>
      <c r="H944" s="3">
        <v>3250</v>
      </c>
      <c r="I944" s="3">
        <v>3250</v>
      </c>
      <c r="J944" t="s">
        <v>76</v>
      </c>
      <c r="K944" t="s">
        <v>83</v>
      </c>
      <c r="L944" t="str">
        <f t="shared" si="14"/>
        <v>Sunday</v>
      </c>
    </row>
    <row r="945" spans="1:12" ht="14.25" customHeight="1" x14ac:dyDescent="0.45">
      <c r="A945" t="s">
        <v>565</v>
      </c>
      <c r="B945" s="2" t="s">
        <v>345</v>
      </c>
      <c r="C945" t="s">
        <v>89</v>
      </c>
      <c r="D945" t="s">
        <v>196</v>
      </c>
      <c r="E945" t="s">
        <v>300</v>
      </c>
      <c r="F945" t="s">
        <v>75</v>
      </c>
      <c r="G945">
        <v>1</v>
      </c>
      <c r="H945" s="3">
        <v>4640</v>
      </c>
      <c r="I945" s="3">
        <v>4640</v>
      </c>
      <c r="J945" t="s">
        <v>76</v>
      </c>
      <c r="K945" t="s">
        <v>77</v>
      </c>
      <c r="L945" t="str">
        <f t="shared" si="14"/>
        <v>Wednesday</v>
      </c>
    </row>
    <row r="946" spans="1:12" ht="14.25" customHeight="1" x14ac:dyDescent="0.45">
      <c r="A946" t="s">
        <v>609</v>
      </c>
      <c r="B946" s="2" t="s">
        <v>240</v>
      </c>
      <c r="C946" t="s">
        <v>72</v>
      </c>
      <c r="D946" t="s">
        <v>196</v>
      </c>
      <c r="E946" t="s">
        <v>300</v>
      </c>
      <c r="F946" t="s">
        <v>117</v>
      </c>
      <c r="G946">
        <v>1</v>
      </c>
      <c r="H946" s="3">
        <v>4390</v>
      </c>
      <c r="I946" s="3">
        <v>4390</v>
      </c>
      <c r="J946" t="s">
        <v>76</v>
      </c>
      <c r="K946" t="s">
        <v>93</v>
      </c>
      <c r="L946" t="str">
        <f t="shared" si="14"/>
        <v>Friday</v>
      </c>
    </row>
    <row r="947" spans="1:12" ht="14.25" customHeight="1" x14ac:dyDescent="0.45">
      <c r="A947" t="s">
        <v>681</v>
      </c>
      <c r="B947" s="2" t="s">
        <v>591</v>
      </c>
      <c r="C947" t="s">
        <v>89</v>
      </c>
      <c r="D947" t="s">
        <v>334</v>
      </c>
      <c r="E947" t="s">
        <v>527</v>
      </c>
      <c r="F947" t="s">
        <v>86</v>
      </c>
      <c r="G947">
        <v>2</v>
      </c>
      <c r="H947" s="3">
        <v>1960</v>
      </c>
      <c r="I947" s="3">
        <v>3920</v>
      </c>
      <c r="J947" t="s">
        <v>82</v>
      </c>
      <c r="K947" t="s">
        <v>83</v>
      </c>
      <c r="L947" t="str">
        <f t="shared" si="14"/>
        <v>Tuesday</v>
      </c>
    </row>
    <row r="948" spans="1:12" ht="14.25" customHeight="1" x14ac:dyDescent="0.45">
      <c r="A948" t="s">
        <v>994</v>
      </c>
      <c r="B948" s="2" t="s">
        <v>585</v>
      </c>
      <c r="C948" t="s">
        <v>80</v>
      </c>
      <c r="D948" t="s">
        <v>398</v>
      </c>
      <c r="E948" t="s">
        <v>462</v>
      </c>
      <c r="F948" t="s">
        <v>131</v>
      </c>
      <c r="G948">
        <v>1</v>
      </c>
      <c r="H948" s="3">
        <v>2120</v>
      </c>
      <c r="I948" s="3">
        <v>2120</v>
      </c>
      <c r="J948" t="s">
        <v>82</v>
      </c>
      <c r="K948" t="s">
        <v>93</v>
      </c>
      <c r="L948" t="str">
        <f t="shared" si="14"/>
        <v>Saturday</v>
      </c>
    </row>
    <row r="949" spans="1:12" ht="14.25" customHeight="1" x14ac:dyDescent="0.45">
      <c r="A949" t="s">
        <v>931</v>
      </c>
      <c r="B949" s="2" t="s">
        <v>164</v>
      </c>
      <c r="C949" t="s">
        <v>96</v>
      </c>
      <c r="D949" t="s">
        <v>472</v>
      </c>
      <c r="E949" t="s">
        <v>557</v>
      </c>
      <c r="F949" t="s">
        <v>123</v>
      </c>
      <c r="G949">
        <v>2</v>
      </c>
      <c r="H949" s="3">
        <v>1180</v>
      </c>
      <c r="I949" s="3">
        <v>2360</v>
      </c>
      <c r="J949" t="s">
        <v>76</v>
      </c>
      <c r="K949" t="s">
        <v>83</v>
      </c>
      <c r="L949" t="str">
        <f t="shared" si="14"/>
        <v>Friday</v>
      </c>
    </row>
    <row r="950" spans="1:12" ht="14.25" customHeight="1" x14ac:dyDescent="0.45">
      <c r="A950" t="s">
        <v>922</v>
      </c>
      <c r="B950" s="2" t="s">
        <v>367</v>
      </c>
      <c r="C950" t="s">
        <v>100</v>
      </c>
      <c r="D950" t="s">
        <v>472</v>
      </c>
      <c r="E950" t="s">
        <v>473</v>
      </c>
      <c r="F950" t="s">
        <v>90</v>
      </c>
      <c r="G950">
        <v>1</v>
      </c>
      <c r="H950" s="3">
        <v>2410</v>
      </c>
      <c r="I950" s="3">
        <v>2410</v>
      </c>
      <c r="J950" t="s">
        <v>82</v>
      </c>
      <c r="K950" t="s">
        <v>83</v>
      </c>
      <c r="L950" t="str">
        <f t="shared" si="14"/>
        <v>Thursday</v>
      </c>
    </row>
    <row r="951" spans="1:12" ht="14.25" customHeight="1" x14ac:dyDescent="0.45">
      <c r="A951" t="s">
        <v>1204</v>
      </c>
      <c r="B951" s="2" t="s">
        <v>194</v>
      </c>
      <c r="C951" t="s">
        <v>89</v>
      </c>
      <c r="D951" t="s">
        <v>472</v>
      </c>
      <c r="E951" t="s">
        <v>557</v>
      </c>
      <c r="F951" t="s">
        <v>107</v>
      </c>
      <c r="G951">
        <v>1</v>
      </c>
      <c r="H951" s="3">
        <v>1200</v>
      </c>
      <c r="I951" s="3">
        <v>1200</v>
      </c>
      <c r="J951" t="s">
        <v>76</v>
      </c>
      <c r="K951" t="s">
        <v>83</v>
      </c>
      <c r="L951" t="str">
        <f t="shared" si="14"/>
        <v>Wednesday</v>
      </c>
    </row>
    <row r="952" spans="1:12" ht="14.25" customHeight="1" x14ac:dyDescent="0.45">
      <c r="A952" t="s">
        <v>1104</v>
      </c>
      <c r="B952" s="2" t="s">
        <v>318</v>
      </c>
      <c r="C952" t="s">
        <v>89</v>
      </c>
      <c r="D952" t="s">
        <v>472</v>
      </c>
      <c r="E952" t="s">
        <v>500</v>
      </c>
      <c r="F952" t="s">
        <v>140</v>
      </c>
      <c r="G952">
        <v>1</v>
      </c>
      <c r="H952" s="3">
        <v>1640</v>
      </c>
      <c r="I952" s="3">
        <v>1640</v>
      </c>
      <c r="J952" t="s">
        <v>76</v>
      </c>
      <c r="K952" t="s">
        <v>83</v>
      </c>
      <c r="L952" t="str">
        <f t="shared" si="14"/>
        <v>Monday</v>
      </c>
    </row>
    <row r="953" spans="1:12" ht="14.25" customHeight="1" x14ac:dyDescent="0.45">
      <c r="A953" t="s">
        <v>638</v>
      </c>
      <c r="B953" s="2" t="s">
        <v>517</v>
      </c>
      <c r="C953" t="s">
        <v>100</v>
      </c>
      <c r="D953" t="s">
        <v>398</v>
      </c>
      <c r="E953" t="s">
        <v>448</v>
      </c>
      <c r="F953" t="s">
        <v>131</v>
      </c>
      <c r="G953">
        <v>2</v>
      </c>
      <c r="H953" s="3">
        <v>2130</v>
      </c>
      <c r="I953" s="3">
        <v>4260</v>
      </c>
      <c r="J953" t="s">
        <v>82</v>
      </c>
      <c r="K953" t="s">
        <v>83</v>
      </c>
      <c r="L953" t="str">
        <f t="shared" si="14"/>
        <v>Wednesday</v>
      </c>
    </row>
    <row r="954" spans="1:12" ht="14.25" customHeight="1" x14ac:dyDescent="0.45">
      <c r="A954" t="s">
        <v>217</v>
      </c>
      <c r="B954" s="2" t="s">
        <v>218</v>
      </c>
      <c r="C954" t="s">
        <v>89</v>
      </c>
      <c r="D954" t="s">
        <v>73</v>
      </c>
      <c r="E954" t="s">
        <v>101</v>
      </c>
      <c r="F954" t="s">
        <v>107</v>
      </c>
      <c r="G954">
        <v>1</v>
      </c>
      <c r="H954" s="3">
        <v>43570</v>
      </c>
      <c r="I954" s="3">
        <v>43570</v>
      </c>
      <c r="J954" t="s">
        <v>76</v>
      </c>
      <c r="K954" t="s">
        <v>77</v>
      </c>
      <c r="L954" t="str">
        <f t="shared" si="14"/>
        <v>Wednesday</v>
      </c>
    </row>
    <row r="955" spans="1:12" ht="14.25" customHeight="1" x14ac:dyDescent="0.45">
      <c r="A955" t="s">
        <v>141</v>
      </c>
      <c r="B955" s="2" t="s">
        <v>142</v>
      </c>
      <c r="C955" t="s">
        <v>89</v>
      </c>
      <c r="D955" t="s">
        <v>73</v>
      </c>
      <c r="E955" t="s">
        <v>74</v>
      </c>
      <c r="F955" t="s">
        <v>75</v>
      </c>
      <c r="G955">
        <v>1</v>
      </c>
      <c r="H955" s="3">
        <v>98120</v>
      </c>
      <c r="I955" s="3">
        <v>98120</v>
      </c>
      <c r="J955" t="s">
        <v>76</v>
      </c>
      <c r="K955" t="s">
        <v>83</v>
      </c>
      <c r="L955" t="str">
        <f t="shared" si="14"/>
        <v>Friday</v>
      </c>
    </row>
    <row r="956" spans="1:12" ht="14.25" customHeight="1" x14ac:dyDescent="0.45">
      <c r="A956" t="s">
        <v>590</v>
      </c>
      <c r="B956" s="2" t="s">
        <v>591</v>
      </c>
      <c r="C956" t="s">
        <v>96</v>
      </c>
      <c r="D956" t="s">
        <v>398</v>
      </c>
      <c r="E956" t="s">
        <v>448</v>
      </c>
      <c r="F956" t="s">
        <v>117</v>
      </c>
      <c r="G956">
        <v>2</v>
      </c>
      <c r="H956" s="3">
        <v>2260</v>
      </c>
      <c r="I956" s="3">
        <v>4520</v>
      </c>
      <c r="J956" t="s">
        <v>82</v>
      </c>
      <c r="K956" t="s">
        <v>93</v>
      </c>
      <c r="L956" t="str">
        <f t="shared" si="14"/>
        <v>Tuesday</v>
      </c>
    </row>
    <row r="957" spans="1:12" ht="14.25" customHeight="1" x14ac:dyDescent="0.45">
      <c r="A957" t="s">
        <v>877</v>
      </c>
      <c r="B957" s="2" t="s">
        <v>113</v>
      </c>
      <c r="C957" t="s">
        <v>89</v>
      </c>
      <c r="D957" t="s">
        <v>398</v>
      </c>
      <c r="E957" t="s">
        <v>464</v>
      </c>
      <c r="F957" t="s">
        <v>90</v>
      </c>
      <c r="G957">
        <v>1</v>
      </c>
      <c r="H957" s="3">
        <v>2610</v>
      </c>
      <c r="I957" s="3">
        <v>2610</v>
      </c>
      <c r="J957" t="s">
        <v>82</v>
      </c>
      <c r="K957" t="s">
        <v>93</v>
      </c>
      <c r="L957" t="str">
        <f t="shared" si="14"/>
        <v>Sunday</v>
      </c>
    </row>
    <row r="958" spans="1:12" ht="14.25" customHeight="1" x14ac:dyDescent="0.45">
      <c r="A958" t="s">
        <v>875</v>
      </c>
      <c r="B958" s="2" t="s">
        <v>206</v>
      </c>
      <c r="C958" t="s">
        <v>96</v>
      </c>
      <c r="D958" t="s">
        <v>398</v>
      </c>
      <c r="E958" t="s">
        <v>464</v>
      </c>
      <c r="F958" t="s">
        <v>117</v>
      </c>
      <c r="G958">
        <v>1</v>
      </c>
      <c r="H958" s="3">
        <v>2620</v>
      </c>
      <c r="I958" s="3">
        <v>2620</v>
      </c>
      <c r="J958" t="s">
        <v>76</v>
      </c>
      <c r="K958" t="s">
        <v>93</v>
      </c>
      <c r="L958" t="str">
        <f t="shared" si="14"/>
        <v>Wednesday</v>
      </c>
    </row>
  </sheetData>
  <autoFilter ref="A1:L958" xr:uid="{00000000-0009-0000-0000-000002000000}"/>
  <conditionalFormatting sqref="A2:L958">
    <cfRule type="expression" dxfId="2" priority="2">
      <formula>$I2&gt;50000</formula>
    </cfRule>
  </conditionalFormatting>
  <conditionalFormatting sqref="G2:G958">
    <cfRule type="colorScale" priority="3">
      <colorScale>
        <cfvo type="min"/>
        <cfvo type="percentile" val="50"/>
        <cfvo type="max"/>
        <color rgb="FFF8696B"/>
        <color rgb="FFFFEB84"/>
        <color rgb="FF63BE7B"/>
      </colorScale>
    </cfRule>
  </conditionalFormatting>
  <conditionalFormatting sqref="I2:I958">
    <cfRule type="iconSet" priority="4">
      <iconSet>
        <cfvo type="num" val="0"/>
        <cfvo type="num" val="0.33"/>
        <cfvo type="num" val="0.67"/>
      </iconSet>
    </cfRule>
  </conditionalFormatting>
  <conditionalFormatting sqref="H1:H1048576">
    <cfRule type="cellIs" dxfId="0" priority="1" operator="greaterThan">
      <formula>50000</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D30"/>
  <sheetViews>
    <sheetView showGridLines="0" topLeftCell="A22" zoomScaleNormal="100" workbookViewId="0">
      <selection activeCell="D11" sqref="D11"/>
    </sheetView>
  </sheetViews>
  <sheetFormatPr defaultColWidth="8.73046875" defaultRowHeight="14.25" customHeight="1" x14ac:dyDescent="0.45"/>
  <cols>
    <col min="1" max="1" width="2.9296875" customWidth="1"/>
    <col min="2" max="2" width="7.9296875" customWidth="1"/>
    <col min="3" max="3" width="55" customWidth="1"/>
    <col min="4" max="4" width="35" customWidth="1"/>
    <col min="5" max="7" width="2.9296875" customWidth="1"/>
  </cols>
  <sheetData>
    <row r="2" spans="2:4" ht="19.7" customHeight="1" x14ac:dyDescent="0.65">
      <c r="B2" s="70" t="s">
        <v>0</v>
      </c>
      <c r="C2" s="65"/>
      <c r="D2" s="65"/>
    </row>
    <row r="4" spans="2:4" ht="16.149999999999999" customHeight="1" x14ac:dyDescent="0.5">
      <c r="B4" s="66" t="s">
        <v>1</v>
      </c>
      <c r="C4" s="65"/>
      <c r="D4" s="65"/>
    </row>
    <row r="5" spans="2:4" ht="45" customHeight="1" x14ac:dyDescent="0.45">
      <c r="B5" s="8" t="s">
        <v>2</v>
      </c>
      <c r="C5" s="5" t="s">
        <v>3</v>
      </c>
      <c r="D5" s="9" t="s">
        <v>4</v>
      </c>
    </row>
    <row r="6" spans="2:4" ht="30" customHeight="1" x14ac:dyDescent="0.45">
      <c r="B6" s="8" t="s">
        <v>5</v>
      </c>
      <c r="C6" s="5" t="s">
        <v>6</v>
      </c>
      <c r="D6" s="9" t="s">
        <v>7</v>
      </c>
    </row>
    <row r="7" spans="2:4" ht="45" customHeight="1" x14ac:dyDescent="0.45">
      <c r="B7" s="8" t="s">
        <v>8</v>
      </c>
      <c r="C7" s="5" t="s">
        <v>9</v>
      </c>
      <c r="D7" s="9" t="s">
        <v>10</v>
      </c>
    </row>
    <row r="8" spans="2:4" ht="45" customHeight="1" x14ac:dyDescent="0.45">
      <c r="B8" s="8" t="s">
        <v>11</v>
      </c>
      <c r="C8" s="5" t="s">
        <v>12</v>
      </c>
      <c r="D8" s="9" t="str">
        <f>"Total transactions = "&amp;COUNTA('Sales Data'!A2:A958)&amp;"; Total revenue = PKR "&amp;TEXT(SUM('Sales Data'!I2:I958),"#,##0")</f>
        <v>Total transactions = 957; Total revenue = PKR 11,946,830</v>
      </c>
    </row>
    <row r="10" spans="2:4" ht="16.149999999999999" customHeight="1" x14ac:dyDescent="0.5">
      <c r="B10" s="66" t="s">
        <v>13</v>
      </c>
      <c r="C10" s="65"/>
      <c r="D10" s="65"/>
    </row>
    <row r="11" spans="2:4" ht="45" customHeight="1" x14ac:dyDescent="0.45">
      <c r="B11" s="8" t="s">
        <v>14</v>
      </c>
      <c r="C11" s="5" t="s">
        <v>15</v>
      </c>
      <c r="D11" s="43" t="s">
        <v>16</v>
      </c>
    </row>
    <row r="12" spans="2:4" ht="45" customHeight="1" x14ac:dyDescent="0.45">
      <c r="B12" s="8" t="s">
        <v>17</v>
      </c>
      <c r="C12" s="5" t="s">
        <v>18</v>
      </c>
      <c r="D12" s="43" t="s">
        <v>19</v>
      </c>
    </row>
    <row r="13" spans="2:4" ht="60" customHeight="1" x14ac:dyDescent="0.45">
      <c r="B13" s="8" t="s">
        <v>20</v>
      </c>
      <c r="C13" s="5" t="s">
        <v>21</v>
      </c>
      <c r="D13" s="44" t="s">
        <v>22</v>
      </c>
    </row>
    <row r="14" spans="2:4" ht="60" customHeight="1" x14ac:dyDescent="0.45">
      <c r="B14" s="8" t="s">
        <v>23</v>
      </c>
      <c r="C14" s="5" t="s">
        <v>24</v>
      </c>
      <c r="D14" s="44" t="s">
        <v>25</v>
      </c>
    </row>
    <row r="15" spans="2:4" ht="45" customHeight="1" x14ac:dyDescent="0.45">
      <c r="B15" s="8" t="s">
        <v>26</v>
      </c>
      <c r="C15" s="10" t="s">
        <v>27</v>
      </c>
      <c r="D15" s="44" t="s">
        <v>28</v>
      </c>
    </row>
    <row r="16" spans="2:4" ht="75" customHeight="1" x14ac:dyDescent="0.45">
      <c r="B16" s="8" t="s">
        <v>29</v>
      </c>
      <c r="C16" s="5" t="s">
        <v>30</v>
      </c>
      <c r="D16" s="43" t="s">
        <v>31</v>
      </c>
    </row>
    <row r="17" spans="2:4" ht="60" customHeight="1" x14ac:dyDescent="0.45">
      <c r="B17" s="8" t="s">
        <v>32</v>
      </c>
      <c r="C17" s="5" t="s">
        <v>33</v>
      </c>
      <c r="D17" s="43" t="s">
        <v>34</v>
      </c>
    </row>
    <row r="19" spans="2:4" ht="16.149999999999999" customHeight="1" x14ac:dyDescent="0.5">
      <c r="B19" s="66" t="s">
        <v>35</v>
      </c>
      <c r="C19" s="65"/>
      <c r="D19" s="65"/>
    </row>
    <row r="20" spans="2:4" ht="45" customHeight="1" x14ac:dyDescent="0.45">
      <c r="B20" s="8" t="s">
        <v>36</v>
      </c>
      <c r="C20" s="5" t="s">
        <v>37</v>
      </c>
      <c r="D20" s="9" t="s">
        <v>38</v>
      </c>
    </row>
    <row r="21" spans="2:4" ht="45" customHeight="1" x14ac:dyDescent="0.45">
      <c r="B21" s="8" t="s">
        <v>39</v>
      </c>
      <c r="C21" s="5" t="s">
        <v>40</v>
      </c>
      <c r="D21" s="9" t="s">
        <v>41</v>
      </c>
    </row>
    <row r="22" spans="2:4" ht="45" customHeight="1" x14ac:dyDescent="0.45">
      <c r="B22" s="8" t="s">
        <v>42</v>
      </c>
      <c r="C22" s="5" t="s">
        <v>43</v>
      </c>
      <c r="D22" s="45" t="s">
        <v>44</v>
      </c>
    </row>
    <row r="24" spans="2:4" ht="16.149999999999999" customHeight="1" x14ac:dyDescent="0.5">
      <c r="B24" s="66" t="s">
        <v>45</v>
      </c>
      <c r="C24" s="65"/>
      <c r="D24" s="65"/>
    </row>
    <row r="25" spans="2:4" ht="30" customHeight="1" x14ac:dyDescent="0.45">
      <c r="B25" s="8" t="s">
        <v>46</v>
      </c>
      <c r="C25" s="5" t="s">
        <v>47</v>
      </c>
      <c r="D25" s="9" t="s">
        <v>48</v>
      </c>
    </row>
    <row r="26" spans="2:4" ht="30" customHeight="1" x14ac:dyDescent="0.45">
      <c r="B26" s="8" t="s">
        <v>49</v>
      </c>
      <c r="C26" s="5" t="s">
        <v>50</v>
      </c>
      <c r="D26" s="9" t="s">
        <v>51</v>
      </c>
    </row>
    <row r="27" spans="2:4" ht="30" customHeight="1" x14ac:dyDescent="0.45">
      <c r="B27" s="8" t="s">
        <v>52</v>
      </c>
      <c r="C27" s="5" t="s">
        <v>53</v>
      </c>
      <c r="D27" s="9" t="s">
        <v>54</v>
      </c>
    </row>
    <row r="29" spans="2:4" ht="16.149999999999999" customHeight="1" x14ac:dyDescent="0.5">
      <c r="B29" s="71" t="s">
        <v>55</v>
      </c>
      <c r="C29" s="65"/>
      <c r="D29" s="65"/>
    </row>
    <row r="30" spans="2:4" ht="90" customHeight="1" x14ac:dyDescent="0.45">
      <c r="B30" s="8" t="s">
        <v>56</v>
      </c>
      <c r="C30" s="67" t="s">
        <v>57</v>
      </c>
      <c r="D30" s="65"/>
    </row>
  </sheetData>
  <mergeCells count="7">
    <mergeCell ref="B2:D2"/>
    <mergeCell ref="B10:D10"/>
    <mergeCell ref="B19:D19"/>
    <mergeCell ref="C30:D30"/>
    <mergeCell ref="B4:D4"/>
    <mergeCell ref="B29:D29"/>
    <mergeCell ref="B24:D2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38"/>
  <sheetViews>
    <sheetView showGridLines="0" topLeftCell="A74" zoomScaleNormal="100" workbookViewId="0">
      <selection activeCell="A80" sqref="A80"/>
    </sheetView>
  </sheetViews>
  <sheetFormatPr defaultColWidth="8.73046875" defaultRowHeight="14.25" customHeight="1" x14ac:dyDescent="0.45"/>
  <cols>
    <col min="1" max="1" width="24" customWidth="1"/>
    <col min="2" max="3" width="22" customWidth="1"/>
    <col min="4" max="4" width="21" customWidth="1"/>
    <col min="5" max="5" width="25" customWidth="1"/>
    <col min="6" max="6" width="23" customWidth="1"/>
    <col min="7" max="7" width="3" customWidth="1"/>
  </cols>
  <sheetData>
    <row r="1" spans="1:6" ht="20" customHeight="1" x14ac:dyDescent="0.65">
      <c r="A1" s="78" t="s">
        <v>1285</v>
      </c>
      <c r="B1" s="65"/>
      <c r="C1" s="65"/>
      <c r="D1" s="65"/>
      <c r="E1" s="65"/>
      <c r="F1" s="65"/>
    </row>
    <row r="2" spans="1:6" ht="20" customHeight="1" x14ac:dyDescent="0.65">
      <c r="B2" s="7"/>
    </row>
    <row r="3" spans="1:6" ht="20" customHeight="1" x14ac:dyDescent="0.5">
      <c r="A3" s="46" t="s">
        <v>1286</v>
      </c>
      <c r="E3" s="46" t="s">
        <v>1287</v>
      </c>
    </row>
    <row r="4" spans="1:6" ht="20" customHeight="1" x14ac:dyDescent="0.45">
      <c r="A4" s="47" t="s">
        <v>60</v>
      </c>
      <c r="B4" s="47" t="s">
        <v>1288</v>
      </c>
      <c r="E4" s="47" t="s">
        <v>63</v>
      </c>
      <c r="F4" s="47" t="s">
        <v>66</v>
      </c>
    </row>
    <row r="5" spans="1:6" ht="20" customHeight="1" x14ac:dyDescent="0.45">
      <c r="A5" s="11" t="s">
        <v>96</v>
      </c>
      <c r="B5" s="12">
        <v>3437870</v>
      </c>
      <c r="E5" t="s">
        <v>86</v>
      </c>
      <c r="F5">
        <v>1528440</v>
      </c>
    </row>
    <row r="6" spans="1:6" ht="20" customHeight="1" x14ac:dyDescent="0.45">
      <c r="A6" s="13" t="s">
        <v>89</v>
      </c>
      <c r="B6" s="14">
        <v>3274590</v>
      </c>
      <c r="E6" t="s">
        <v>97</v>
      </c>
      <c r="F6">
        <v>1513230</v>
      </c>
    </row>
    <row r="7" spans="1:6" ht="20" customHeight="1" x14ac:dyDescent="0.45">
      <c r="A7" s="15" t="s">
        <v>100</v>
      </c>
      <c r="B7" s="16">
        <v>2171000</v>
      </c>
      <c r="E7" t="s">
        <v>75</v>
      </c>
      <c r="F7">
        <v>1373860</v>
      </c>
    </row>
    <row r="8" spans="1:6" ht="20" customHeight="1" x14ac:dyDescent="0.45">
      <c r="A8" s="15" t="s">
        <v>72</v>
      </c>
      <c r="B8" s="16">
        <v>1720950</v>
      </c>
      <c r="E8" t="s">
        <v>140</v>
      </c>
      <c r="F8">
        <v>1329900</v>
      </c>
    </row>
    <row r="9" spans="1:6" ht="20" customHeight="1" x14ac:dyDescent="0.45">
      <c r="A9" s="15" t="s">
        <v>80</v>
      </c>
      <c r="B9" s="16">
        <v>1342420</v>
      </c>
      <c r="E9" t="s">
        <v>90</v>
      </c>
      <c r="F9">
        <v>1290770</v>
      </c>
    </row>
    <row r="10" spans="1:6" ht="20" customHeight="1" x14ac:dyDescent="0.45">
      <c r="A10" s="15" t="s">
        <v>1289</v>
      </c>
      <c r="B10" s="16">
        <v>11946830</v>
      </c>
      <c r="E10" t="s">
        <v>81</v>
      </c>
      <c r="F10">
        <v>1228480</v>
      </c>
    </row>
    <row r="11" spans="1:6" ht="20" customHeight="1" x14ac:dyDescent="0.45">
      <c r="A11" s="17"/>
      <c r="B11" s="18"/>
      <c r="E11" t="s">
        <v>107</v>
      </c>
      <c r="F11">
        <v>1072110</v>
      </c>
    </row>
    <row r="12" spans="1:6" ht="20" customHeight="1" x14ac:dyDescent="0.45">
      <c r="A12" s="13"/>
      <c r="B12" s="14"/>
      <c r="E12" t="s">
        <v>123</v>
      </c>
      <c r="F12">
        <v>932320</v>
      </c>
    </row>
    <row r="13" spans="1:6" ht="20" customHeight="1" x14ac:dyDescent="0.5">
      <c r="A13" s="48" t="s">
        <v>1290</v>
      </c>
      <c r="B13" s="16"/>
      <c r="E13" t="s">
        <v>131</v>
      </c>
      <c r="F13">
        <v>912130</v>
      </c>
    </row>
    <row r="14" spans="1:6" ht="20" customHeight="1" x14ac:dyDescent="0.45">
      <c r="A14" s="49" t="s">
        <v>60</v>
      </c>
      <c r="B14" s="50" t="s">
        <v>61</v>
      </c>
      <c r="C14" s="47" t="s">
        <v>66</v>
      </c>
      <c r="E14" t="s">
        <v>117</v>
      </c>
      <c r="F14">
        <v>765590</v>
      </c>
    </row>
    <row r="15" spans="1:6" ht="20" customHeight="1" x14ac:dyDescent="0.45">
      <c r="A15" s="15" t="s">
        <v>72</v>
      </c>
      <c r="B15" s="16" t="s">
        <v>73</v>
      </c>
      <c r="C15">
        <v>1213750</v>
      </c>
      <c r="E15" t="s">
        <v>1289</v>
      </c>
      <c r="F15">
        <v>11946830</v>
      </c>
    </row>
    <row r="16" spans="1:6" ht="20" customHeight="1" x14ac:dyDescent="0.45">
      <c r="A16" s="15" t="s">
        <v>72</v>
      </c>
      <c r="B16" s="16" t="s">
        <v>196</v>
      </c>
      <c r="C16">
        <v>264520</v>
      </c>
    </row>
    <row r="17" spans="1:6" ht="20" customHeight="1" x14ac:dyDescent="0.45">
      <c r="A17" s="17" t="s">
        <v>72</v>
      </c>
      <c r="B17" s="18" t="s">
        <v>398</v>
      </c>
      <c r="C17">
        <v>91600</v>
      </c>
    </row>
    <row r="18" spans="1:6" ht="20" customHeight="1" x14ac:dyDescent="0.5">
      <c r="A18" s="13" t="s">
        <v>72</v>
      </c>
      <c r="B18" s="14" t="s">
        <v>334</v>
      </c>
      <c r="C18">
        <v>84770</v>
      </c>
      <c r="E18" s="46" t="s">
        <v>1291</v>
      </c>
    </row>
    <row r="19" spans="1:6" ht="20" customHeight="1" x14ac:dyDescent="0.45">
      <c r="A19" s="15" t="s">
        <v>72</v>
      </c>
      <c r="B19" s="16" t="s">
        <v>472</v>
      </c>
      <c r="C19">
        <v>66310</v>
      </c>
      <c r="E19" s="47" t="s">
        <v>61</v>
      </c>
      <c r="F19" s="47" t="s">
        <v>1292</v>
      </c>
    </row>
    <row r="20" spans="1:6" ht="20" customHeight="1" x14ac:dyDescent="0.45">
      <c r="A20" s="15" t="s">
        <v>80</v>
      </c>
      <c r="B20" s="16" t="s">
        <v>73</v>
      </c>
      <c r="C20">
        <v>868540</v>
      </c>
      <c r="E20" t="s">
        <v>472</v>
      </c>
      <c r="F20">
        <v>357</v>
      </c>
    </row>
    <row r="21" spans="1:6" ht="20" customHeight="1" x14ac:dyDescent="0.45">
      <c r="A21" s="15" t="s">
        <v>80</v>
      </c>
      <c r="B21" s="16" t="s">
        <v>196</v>
      </c>
      <c r="C21">
        <v>284330</v>
      </c>
      <c r="E21" t="s">
        <v>398</v>
      </c>
      <c r="F21">
        <v>332</v>
      </c>
    </row>
    <row r="22" spans="1:6" ht="20" customHeight="1" x14ac:dyDescent="0.45">
      <c r="A22" s="15" t="s">
        <v>80</v>
      </c>
      <c r="B22" s="16" t="s">
        <v>398</v>
      </c>
      <c r="C22">
        <v>74610</v>
      </c>
      <c r="E22" t="s">
        <v>73</v>
      </c>
      <c r="F22">
        <v>234</v>
      </c>
    </row>
    <row r="23" spans="1:6" ht="20" customHeight="1" x14ac:dyDescent="0.45">
      <c r="A23" s="17" t="s">
        <v>80</v>
      </c>
      <c r="B23" s="18" t="s">
        <v>472</v>
      </c>
      <c r="C23">
        <v>60540</v>
      </c>
      <c r="E23" t="s">
        <v>334</v>
      </c>
      <c r="F23">
        <v>212</v>
      </c>
    </row>
    <row r="24" spans="1:6" ht="20" customHeight="1" x14ac:dyDescent="0.45">
      <c r="A24" s="13" t="s">
        <v>80</v>
      </c>
      <c r="B24" s="14" t="s">
        <v>334</v>
      </c>
      <c r="C24">
        <v>54400</v>
      </c>
      <c r="E24" t="s">
        <v>196</v>
      </c>
      <c r="F24">
        <v>168</v>
      </c>
    </row>
    <row r="25" spans="1:6" ht="20" customHeight="1" x14ac:dyDescent="0.45">
      <c r="A25" s="15" t="s">
        <v>96</v>
      </c>
      <c r="B25" s="16" t="s">
        <v>73</v>
      </c>
      <c r="C25">
        <v>2142130</v>
      </c>
      <c r="E25" t="s">
        <v>1289</v>
      </c>
      <c r="F25">
        <v>1303</v>
      </c>
    </row>
    <row r="26" spans="1:6" ht="20" customHeight="1" x14ac:dyDescent="0.45">
      <c r="A26" s="15" t="s">
        <v>96</v>
      </c>
      <c r="B26" s="16" t="s">
        <v>196</v>
      </c>
      <c r="C26">
        <v>654360</v>
      </c>
    </row>
    <row r="27" spans="1:6" ht="20" customHeight="1" x14ac:dyDescent="0.45">
      <c r="A27" s="15" t="s">
        <v>96</v>
      </c>
      <c r="B27" s="16" t="s">
        <v>398</v>
      </c>
      <c r="C27">
        <v>277740</v>
      </c>
    </row>
    <row r="28" spans="1:6" ht="20" customHeight="1" x14ac:dyDescent="0.45">
      <c r="A28" s="15" t="s">
        <v>96</v>
      </c>
      <c r="B28" s="16" t="s">
        <v>472</v>
      </c>
      <c r="C28">
        <v>193710</v>
      </c>
    </row>
    <row r="29" spans="1:6" ht="20" customHeight="1" x14ac:dyDescent="0.5">
      <c r="A29" s="61" t="s">
        <v>1293</v>
      </c>
      <c r="B29" s="18" t="s">
        <v>334</v>
      </c>
      <c r="C29">
        <v>169930</v>
      </c>
    </row>
    <row r="30" spans="1:6" ht="20" customHeight="1" x14ac:dyDescent="0.45">
      <c r="A30" s="52" t="s">
        <v>1294</v>
      </c>
      <c r="B30" s="53" t="s">
        <v>77</v>
      </c>
      <c r="C30" s="47" t="s">
        <v>83</v>
      </c>
      <c r="D30" s="47" t="s">
        <v>93</v>
      </c>
      <c r="E30" s="47" t="s">
        <v>1295</v>
      </c>
    </row>
    <row r="31" spans="1:6" ht="20" customHeight="1" x14ac:dyDescent="0.45">
      <c r="A31" s="15" t="s">
        <v>1296</v>
      </c>
      <c r="B31" s="16">
        <v>51</v>
      </c>
      <c r="C31">
        <v>96</v>
      </c>
      <c r="D31">
        <v>14</v>
      </c>
      <c r="E31">
        <v>161</v>
      </c>
    </row>
    <row r="32" spans="1:6" ht="20" customHeight="1" x14ac:dyDescent="0.45">
      <c r="A32" s="15" t="s">
        <v>1297</v>
      </c>
      <c r="B32" s="16">
        <v>41</v>
      </c>
      <c r="C32">
        <v>73</v>
      </c>
      <c r="D32">
        <v>21</v>
      </c>
      <c r="E32">
        <v>135</v>
      </c>
    </row>
    <row r="33" spans="1:5" ht="20" customHeight="1" x14ac:dyDescent="0.45">
      <c r="A33" s="15" t="s">
        <v>1298</v>
      </c>
      <c r="B33" s="16">
        <v>66</v>
      </c>
      <c r="C33">
        <v>89</v>
      </c>
      <c r="D33">
        <v>34</v>
      </c>
      <c r="E33">
        <v>189</v>
      </c>
    </row>
    <row r="34" spans="1:5" ht="20" customHeight="1" x14ac:dyDescent="0.45">
      <c r="A34" s="15" t="s">
        <v>1299</v>
      </c>
      <c r="B34" s="16">
        <v>44</v>
      </c>
      <c r="C34">
        <v>73</v>
      </c>
      <c r="D34">
        <v>54</v>
      </c>
      <c r="E34">
        <v>171</v>
      </c>
    </row>
    <row r="35" spans="1:5" ht="20" customHeight="1" x14ac:dyDescent="0.45">
      <c r="A35" s="17" t="s">
        <v>1300</v>
      </c>
      <c r="B35" s="18">
        <v>35</v>
      </c>
      <c r="C35">
        <v>65</v>
      </c>
      <c r="D35">
        <v>56</v>
      </c>
      <c r="E35">
        <v>156</v>
      </c>
    </row>
    <row r="36" spans="1:5" ht="20" customHeight="1" x14ac:dyDescent="0.45">
      <c r="A36" s="19" t="s">
        <v>1301</v>
      </c>
      <c r="B36" s="20">
        <v>25</v>
      </c>
      <c r="C36">
        <v>65</v>
      </c>
      <c r="D36">
        <v>55</v>
      </c>
      <c r="E36">
        <v>145</v>
      </c>
    </row>
    <row r="37" spans="1:5" ht="20" customHeight="1" x14ac:dyDescent="0.45">
      <c r="A37" t="s">
        <v>100</v>
      </c>
      <c r="B37" t="s">
        <v>398</v>
      </c>
      <c r="C37">
        <v>148500</v>
      </c>
    </row>
    <row r="38" spans="1:5" ht="20" customHeight="1" x14ac:dyDescent="0.45">
      <c r="A38" t="s">
        <v>100</v>
      </c>
      <c r="B38" t="s">
        <v>472</v>
      </c>
      <c r="C38">
        <v>109790</v>
      </c>
    </row>
    <row r="39" spans="1:5" ht="20" customHeight="1" x14ac:dyDescent="0.5">
      <c r="A39" s="51" t="s">
        <v>100</v>
      </c>
      <c r="B39" s="12" t="s">
        <v>334</v>
      </c>
      <c r="C39">
        <v>83290</v>
      </c>
    </row>
    <row r="40" spans="1:5" ht="20" customHeight="1" x14ac:dyDescent="0.5">
      <c r="A40" s="62" t="s">
        <v>1302</v>
      </c>
      <c r="B40" s="53"/>
      <c r="C40" s="47"/>
      <c r="D40" s="63" t="s">
        <v>1303</v>
      </c>
      <c r="E40" s="47"/>
    </row>
    <row r="41" spans="1:5" ht="20" customHeight="1" x14ac:dyDescent="0.45">
      <c r="A41" s="49" t="s">
        <v>1294</v>
      </c>
      <c r="B41" s="50" t="s">
        <v>66</v>
      </c>
      <c r="D41" s="47" t="s">
        <v>1284</v>
      </c>
      <c r="E41" s="47" t="s">
        <v>66</v>
      </c>
    </row>
    <row r="42" spans="1:5" ht="20" customHeight="1" x14ac:dyDescent="0.45">
      <c r="A42" s="21" t="s">
        <v>1296</v>
      </c>
      <c r="B42" s="16">
        <v>224090</v>
      </c>
      <c r="D42" t="s">
        <v>1304</v>
      </c>
      <c r="E42">
        <v>87880</v>
      </c>
    </row>
    <row r="43" spans="1:5" ht="20" customHeight="1" x14ac:dyDescent="0.45">
      <c r="A43" s="21" t="s">
        <v>1297</v>
      </c>
      <c r="B43" s="16">
        <v>187620</v>
      </c>
      <c r="D43" t="s">
        <v>1305</v>
      </c>
      <c r="E43">
        <v>79340</v>
      </c>
    </row>
    <row r="44" spans="1:5" ht="20" customHeight="1" x14ac:dyDescent="0.45">
      <c r="A44" s="21" t="s">
        <v>1298</v>
      </c>
      <c r="B44" s="16">
        <v>326250</v>
      </c>
      <c r="D44" t="s">
        <v>1306</v>
      </c>
      <c r="E44">
        <v>55860</v>
      </c>
    </row>
    <row r="45" spans="1:5" ht="20" customHeight="1" x14ac:dyDescent="0.45">
      <c r="A45" s="21" t="s">
        <v>1299</v>
      </c>
      <c r="B45" s="16">
        <v>271570</v>
      </c>
      <c r="D45" t="s">
        <v>1307</v>
      </c>
      <c r="E45">
        <v>84490</v>
      </c>
    </row>
    <row r="46" spans="1:5" ht="20" customHeight="1" x14ac:dyDescent="0.45">
      <c r="A46" s="21" t="s">
        <v>1300</v>
      </c>
      <c r="B46" s="16">
        <v>214250</v>
      </c>
      <c r="D46" t="s">
        <v>1308</v>
      </c>
      <c r="E46">
        <v>121530</v>
      </c>
    </row>
    <row r="47" spans="1:5" ht="20" customHeight="1" x14ac:dyDescent="0.45">
      <c r="A47" s="21" t="s">
        <v>1301</v>
      </c>
      <c r="B47" s="16">
        <v>159570</v>
      </c>
      <c r="D47" t="s">
        <v>1309</v>
      </c>
      <c r="E47">
        <v>124320</v>
      </c>
    </row>
    <row r="48" spans="1:5" ht="20" customHeight="1" x14ac:dyDescent="0.45">
      <c r="A48" s="21"/>
      <c r="B48" s="16"/>
      <c r="D48" t="s">
        <v>1310</v>
      </c>
      <c r="E48">
        <v>57710</v>
      </c>
    </row>
    <row r="49" spans="1:6" ht="20" customHeight="1" x14ac:dyDescent="0.45">
      <c r="A49" s="21"/>
      <c r="B49" s="18"/>
    </row>
    <row r="50" spans="1:6" ht="20" customHeight="1" x14ac:dyDescent="0.5">
      <c r="A50" s="54"/>
      <c r="B50" s="20"/>
      <c r="D50" s="46"/>
    </row>
    <row r="51" spans="1:6" ht="20" customHeight="1" x14ac:dyDescent="0.45">
      <c r="A51" s="47"/>
      <c r="B51" s="47"/>
      <c r="D51" s="47"/>
      <c r="E51" s="47"/>
    </row>
    <row r="52" spans="1:6" ht="20" customHeight="1" x14ac:dyDescent="0.5">
      <c r="A52" s="46" t="s">
        <v>1311</v>
      </c>
    </row>
    <row r="53" spans="1:6" ht="20" customHeight="1" x14ac:dyDescent="0.45">
      <c r="A53" s="77" t="s">
        <v>1312</v>
      </c>
      <c r="B53" s="65"/>
      <c r="C53" s="65"/>
      <c r="D53" s="65"/>
      <c r="E53" s="65"/>
      <c r="F53" s="65"/>
    </row>
    <row r="54" spans="1:6" ht="20" customHeight="1" x14ac:dyDescent="0.45">
      <c r="A54" s="77" t="s">
        <v>1313</v>
      </c>
      <c r="B54" s="65"/>
      <c r="C54" s="65"/>
      <c r="D54" s="65"/>
      <c r="E54" s="65"/>
      <c r="F54" s="65"/>
    </row>
    <row r="55" spans="1:6" ht="20" customHeight="1" x14ac:dyDescent="0.45">
      <c r="A55" s="77" t="s">
        <v>1314</v>
      </c>
      <c r="B55" s="65"/>
      <c r="C55" s="65"/>
      <c r="D55" s="65"/>
      <c r="E55" s="65"/>
      <c r="F55" s="65"/>
    </row>
    <row r="56" spans="1:6" ht="20" customHeight="1" x14ac:dyDescent="0.45">
      <c r="A56" s="77" t="s">
        <v>1315</v>
      </c>
      <c r="B56" s="65"/>
      <c r="C56" s="65"/>
      <c r="D56" s="65"/>
      <c r="E56" s="65"/>
      <c r="F56" s="65"/>
    </row>
    <row r="57" spans="1:6" ht="20" customHeight="1" x14ac:dyDescent="0.45">
      <c r="A57" s="74" t="s">
        <v>1316</v>
      </c>
      <c r="B57" s="75"/>
      <c r="C57" s="75"/>
      <c r="D57" s="75"/>
      <c r="E57" s="75"/>
      <c r="F57" s="76"/>
    </row>
    <row r="58" spans="1:6" ht="20" customHeight="1" x14ac:dyDescent="0.45">
      <c r="A58" s="79" t="s">
        <v>1317</v>
      </c>
      <c r="B58" s="80"/>
      <c r="C58" s="80"/>
      <c r="D58" s="80"/>
      <c r="E58" s="80"/>
      <c r="F58" s="81"/>
    </row>
    <row r="59" spans="1:6" ht="20" customHeight="1" x14ac:dyDescent="0.45">
      <c r="A59" s="72" t="s">
        <v>1318</v>
      </c>
      <c r="B59" s="65"/>
      <c r="C59" s="65"/>
      <c r="D59" s="65"/>
      <c r="E59" s="65"/>
      <c r="F59" s="73"/>
    </row>
    <row r="60" spans="1:6" ht="20" customHeight="1" x14ac:dyDescent="0.5">
      <c r="A60" s="55"/>
      <c r="B60" s="22"/>
    </row>
    <row r="61" spans="1:6" ht="14.25" customHeight="1" x14ac:dyDescent="0.45">
      <c r="A61" s="56"/>
    </row>
    <row r="62" spans="1:6" ht="14.25" customHeight="1" x14ac:dyDescent="0.45">
      <c r="A62" s="56"/>
    </row>
    <row r="63" spans="1:6" ht="14.25" customHeight="1" x14ac:dyDescent="0.45">
      <c r="A63" s="57"/>
    </row>
    <row r="64" spans="1:6" x14ac:dyDescent="0.45">
      <c r="A64" s="58"/>
    </row>
    <row r="65" spans="1:5" x14ac:dyDescent="0.45">
      <c r="A65" s="58"/>
    </row>
    <row r="66" spans="1:5" x14ac:dyDescent="0.45">
      <c r="A66" s="58"/>
    </row>
    <row r="67" spans="1:5" x14ac:dyDescent="0.45">
      <c r="A67" s="58"/>
    </row>
    <row r="68" spans="1:5" x14ac:dyDescent="0.45"/>
    <row r="69" spans="1:5" x14ac:dyDescent="0.45"/>
    <row r="70" spans="1:5" x14ac:dyDescent="0.45"/>
    <row r="71" spans="1:5" x14ac:dyDescent="0.45"/>
    <row r="72" spans="1:5" x14ac:dyDescent="0.45"/>
    <row r="73" spans="1:5" x14ac:dyDescent="0.45"/>
    <row r="74" spans="1:5" ht="14.25" customHeight="1" x14ac:dyDescent="0.45">
      <c r="A74" s="24"/>
      <c r="B74" s="25"/>
      <c r="C74" s="26"/>
      <c r="D74" s="26"/>
      <c r="E74" s="27"/>
    </row>
    <row r="75" spans="1:5" ht="14.25" customHeight="1" x14ac:dyDescent="0.45">
      <c r="A75" s="28"/>
      <c r="B75" s="29"/>
      <c r="C75" s="30"/>
      <c r="D75" s="30"/>
      <c r="E75" s="31"/>
    </row>
    <row r="76" spans="1:5" ht="14.25" customHeight="1" x14ac:dyDescent="0.45">
      <c r="A76" s="13"/>
      <c r="B76" s="32"/>
      <c r="C76" s="33"/>
      <c r="D76" s="34"/>
      <c r="E76" s="35"/>
    </row>
    <row r="77" spans="1:5" ht="14.25" customHeight="1" x14ac:dyDescent="0.45">
      <c r="A77" s="17"/>
      <c r="B77" s="36"/>
      <c r="C77" s="37"/>
      <c r="D77" s="38"/>
      <c r="E77" s="39"/>
    </row>
    <row r="78" spans="1:5" ht="14.25" customHeight="1" x14ac:dyDescent="0.45">
      <c r="A78" s="13"/>
      <c r="B78" s="32"/>
      <c r="C78" s="33"/>
      <c r="D78" s="33"/>
      <c r="E78" s="35"/>
    </row>
    <row r="79" spans="1:5" ht="14.25" customHeight="1" x14ac:dyDescent="0.45">
      <c r="A79" s="17"/>
      <c r="B79" s="36"/>
      <c r="C79" s="37"/>
      <c r="D79" s="37"/>
      <c r="E79" s="39"/>
    </row>
    <row r="80" spans="1:5" ht="14.25" customHeight="1" x14ac:dyDescent="0.45">
      <c r="A80" s="13"/>
      <c r="B80" s="32"/>
      <c r="C80" s="33"/>
      <c r="D80" s="34"/>
      <c r="E80" s="35"/>
    </row>
    <row r="81" spans="1:5" ht="14.25" customHeight="1" x14ac:dyDescent="0.45">
      <c r="A81" s="17"/>
      <c r="B81" s="36"/>
      <c r="C81" s="37"/>
      <c r="D81" s="38"/>
      <c r="E81" s="39"/>
    </row>
    <row r="82" spans="1:5" ht="14.25" customHeight="1" x14ac:dyDescent="0.45">
      <c r="A82" s="13"/>
      <c r="B82" s="32"/>
      <c r="C82" s="33"/>
      <c r="D82" s="33"/>
      <c r="E82" s="35"/>
    </row>
    <row r="83" spans="1:5" ht="14.25" customHeight="1" x14ac:dyDescent="0.45">
      <c r="A83" s="17"/>
      <c r="B83" s="36"/>
      <c r="C83" s="37"/>
      <c r="D83" s="37"/>
      <c r="E83" s="39"/>
    </row>
    <row r="84" spans="1:5" ht="14.25" customHeight="1" x14ac:dyDescent="0.45">
      <c r="A84" s="13"/>
      <c r="B84" s="32"/>
      <c r="C84" s="33"/>
      <c r="D84" s="34"/>
      <c r="E84" s="35"/>
    </row>
    <row r="85" spans="1:5" ht="14.25" customHeight="1" x14ac:dyDescent="0.45">
      <c r="A85" s="17"/>
      <c r="B85" s="36"/>
      <c r="C85" s="37"/>
      <c r="D85" s="38"/>
      <c r="E85" s="39"/>
    </row>
    <row r="86" spans="1:5" ht="14.25" customHeight="1" x14ac:dyDescent="0.45">
      <c r="A86" s="13"/>
      <c r="B86" s="32"/>
      <c r="C86" s="33"/>
      <c r="D86" s="33"/>
      <c r="E86" s="35"/>
    </row>
    <row r="87" spans="1:5" ht="14.25" customHeight="1" x14ac:dyDescent="0.45">
      <c r="A87" s="17"/>
      <c r="B87" s="36"/>
      <c r="C87" s="37"/>
      <c r="D87" s="37"/>
      <c r="E87" s="39"/>
    </row>
    <row r="88" spans="1:5" ht="14.25" customHeight="1" x14ac:dyDescent="0.45">
      <c r="A88" s="13"/>
      <c r="B88" s="32"/>
      <c r="C88" s="33"/>
      <c r="D88" s="34"/>
      <c r="E88" s="35"/>
    </row>
    <row r="89" spans="1:5" ht="14.25" customHeight="1" x14ac:dyDescent="0.45">
      <c r="A89" s="17"/>
      <c r="B89" s="36"/>
      <c r="C89" s="37"/>
      <c r="D89" s="38"/>
      <c r="E89" s="39"/>
    </row>
    <row r="90" spans="1:5" ht="14.25" customHeight="1" x14ac:dyDescent="0.45">
      <c r="A90" s="13"/>
      <c r="B90" s="32"/>
      <c r="C90" s="33"/>
      <c r="D90" s="33"/>
      <c r="E90" s="35"/>
    </row>
    <row r="91" spans="1:5" ht="14.25" customHeight="1" x14ac:dyDescent="0.45">
      <c r="A91" s="17"/>
      <c r="B91" s="36"/>
      <c r="C91" s="37"/>
      <c r="D91" s="37"/>
      <c r="E91" s="39"/>
    </row>
    <row r="92" spans="1:5" ht="14.25" customHeight="1" x14ac:dyDescent="0.45">
      <c r="A92" s="13"/>
      <c r="B92" s="32"/>
      <c r="C92" s="33"/>
      <c r="D92" s="34"/>
      <c r="E92" s="35"/>
    </row>
    <row r="93" spans="1:5" ht="14.25" customHeight="1" x14ac:dyDescent="0.45">
      <c r="A93" s="17"/>
      <c r="B93" s="36"/>
      <c r="C93" s="37"/>
      <c r="D93" s="38"/>
      <c r="E93" s="39"/>
    </row>
    <row r="94" spans="1:5" ht="14.25" customHeight="1" x14ac:dyDescent="0.45">
      <c r="A94" s="13"/>
      <c r="B94" s="32"/>
      <c r="C94" s="33"/>
      <c r="D94" s="33"/>
      <c r="E94" s="35"/>
    </row>
    <row r="95" spans="1:5" ht="14.25" customHeight="1" x14ac:dyDescent="0.45">
      <c r="A95" s="17"/>
      <c r="B95" s="36"/>
      <c r="C95" s="37"/>
      <c r="D95" s="37"/>
      <c r="E95" s="39"/>
    </row>
    <row r="96" spans="1:5" ht="14.25" customHeight="1" x14ac:dyDescent="0.45">
      <c r="A96" s="13"/>
      <c r="B96" s="32"/>
      <c r="C96" s="33"/>
      <c r="D96" s="34"/>
      <c r="E96" s="35"/>
    </row>
    <row r="97" spans="1:5" ht="14.25" customHeight="1" x14ac:dyDescent="0.45">
      <c r="A97" s="17"/>
      <c r="B97" s="36"/>
      <c r="C97" s="37"/>
      <c r="D97" s="38"/>
      <c r="E97" s="39"/>
    </row>
    <row r="98" spans="1:5" ht="14.25" customHeight="1" x14ac:dyDescent="0.45">
      <c r="A98" s="13"/>
      <c r="B98" s="32"/>
      <c r="C98" s="33"/>
      <c r="D98" s="33"/>
      <c r="E98" s="35"/>
    </row>
    <row r="99" spans="1:5" ht="14.25" customHeight="1" x14ac:dyDescent="0.45">
      <c r="A99" s="17"/>
      <c r="B99" s="36"/>
      <c r="C99" s="37"/>
      <c r="D99" s="37"/>
      <c r="E99" s="39"/>
    </row>
    <row r="100" spans="1:5" ht="14.25" customHeight="1" x14ac:dyDescent="0.45">
      <c r="A100" s="13"/>
      <c r="B100" s="32"/>
      <c r="C100" s="33"/>
      <c r="D100" s="34"/>
      <c r="E100" s="35"/>
    </row>
    <row r="101" spans="1:5" ht="14.25" customHeight="1" x14ac:dyDescent="0.45">
      <c r="A101" s="17"/>
      <c r="B101" s="36"/>
      <c r="C101" s="37"/>
      <c r="D101" s="38"/>
      <c r="E101" s="39"/>
    </row>
    <row r="102" spans="1:5" ht="14.25" customHeight="1" x14ac:dyDescent="0.45">
      <c r="A102" s="13"/>
      <c r="B102" s="32"/>
      <c r="C102" s="33"/>
      <c r="D102" s="33"/>
      <c r="E102" s="35"/>
    </row>
    <row r="103" spans="1:5" ht="14.25" customHeight="1" x14ac:dyDescent="0.45">
      <c r="A103" s="17"/>
      <c r="B103" s="36"/>
      <c r="C103" s="37"/>
      <c r="D103" s="37"/>
      <c r="E103" s="39"/>
    </row>
    <row r="104" spans="1:5" ht="14.25" customHeight="1" x14ac:dyDescent="0.45">
      <c r="A104" s="13"/>
      <c r="B104" s="32"/>
      <c r="C104" s="33"/>
      <c r="D104" s="34"/>
      <c r="E104" s="35"/>
    </row>
    <row r="105" spans="1:5" ht="14.25" customHeight="1" x14ac:dyDescent="0.45">
      <c r="A105" s="17"/>
      <c r="B105" s="36"/>
      <c r="C105" s="37"/>
      <c r="D105" s="38"/>
      <c r="E105" s="39"/>
    </row>
    <row r="106" spans="1:5" ht="14.25" customHeight="1" x14ac:dyDescent="0.45">
      <c r="A106" s="13"/>
      <c r="B106" s="32"/>
      <c r="C106" s="33"/>
      <c r="D106" s="33"/>
      <c r="E106" s="35"/>
    </row>
    <row r="107" spans="1:5" ht="14.25" customHeight="1" x14ac:dyDescent="0.45">
      <c r="A107" s="17"/>
      <c r="B107" s="36"/>
      <c r="C107" s="37"/>
      <c r="D107" s="37"/>
      <c r="E107" s="39"/>
    </row>
    <row r="108" spans="1:5" ht="14.25" customHeight="1" x14ac:dyDescent="0.45">
      <c r="A108" s="13"/>
      <c r="B108" s="32"/>
      <c r="C108" s="33"/>
      <c r="D108" s="34"/>
      <c r="E108" s="35"/>
    </row>
    <row r="109" spans="1:5" ht="14.25" customHeight="1" x14ac:dyDescent="0.45">
      <c r="A109" s="17"/>
      <c r="B109" s="36"/>
      <c r="C109" s="37"/>
      <c r="D109" s="38"/>
      <c r="E109" s="39"/>
    </row>
    <row r="110" spans="1:5" ht="14.25" customHeight="1" x14ac:dyDescent="0.45">
      <c r="A110" s="13"/>
      <c r="B110" s="32"/>
      <c r="C110" s="33"/>
      <c r="D110" s="33"/>
      <c r="E110" s="35"/>
    </row>
    <row r="111" spans="1:5" ht="14.25" customHeight="1" x14ac:dyDescent="0.45">
      <c r="A111" s="17"/>
      <c r="B111" s="36"/>
      <c r="C111" s="37"/>
      <c r="D111" s="37"/>
      <c r="E111" s="39"/>
    </row>
    <row r="112" spans="1:5" ht="14.25" customHeight="1" x14ac:dyDescent="0.45">
      <c r="A112" s="13"/>
      <c r="B112" s="32"/>
      <c r="C112" s="33"/>
      <c r="D112" s="34"/>
      <c r="E112" s="35"/>
    </row>
    <row r="113" spans="1:5" ht="14.25" customHeight="1" x14ac:dyDescent="0.45">
      <c r="A113" s="17"/>
      <c r="B113" s="36"/>
      <c r="C113" s="37"/>
      <c r="D113" s="38"/>
      <c r="E113" s="39"/>
    </row>
    <row r="114" spans="1:5" ht="14.25" customHeight="1" x14ac:dyDescent="0.45">
      <c r="A114" s="13"/>
      <c r="B114" s="32"/>
      <c r="C114" s="33"/>
      <c r="D114" s="33"/>
      <c r="E114" s="35"/>
    </row>
    <row r="115" spans="1:5" ht="14.25" customHeight="1" x14ac:dyDescent="0.45">
      <c r="A115" s="17"/>
      <c r="B115" s="36"/>
      <c r="C115" s="37"/>
      <c r="D115" s="37"/>
      <c r="E115" s="39"/>
    </row>
    <row r="116" spans="1:5" ht="14.25" customHeight="1" x14ac:dyDescent="0.45">
      <c r="A116" s="13"/>
      <c r="B116" s="32"/>
      <c r="C116" s="33"/>
      <c r="D116" s="34"/>
      <c r="E116" s="35"/>
    </row>
    <row r="117" spans="1:5" ht="14.25" customHeight="1" x14ac:dyDescent="0.45">
      <c r="A117" s="17"/>
      <c r="B117" s="36"/>
      <c r="C117" s="37"/>
      <c r="D117" s="38"/>
      <c r="E117" s="39"/>
    </row>
    <row r="118" spans="1:5" ht="14.25" customHeight="1" x14ac:dyDescent="0.45">
      <c r="A118" s="13"/>
      <c r="B118" s="32"/>
      <c r="C118" s="33"/>
      <c r="D118" s="33"/>
      <c r="E118" s="35"/>
    </row>
    <row r="119" spans="1:5" ht="14.25" customHeight="1" x14ac:dyDescent="0.45">
      <c r="A119" s="17"/>
      <c r="B119" s="36"/>
      <c r="C119" s="37"/>
      <c r="D119" s="37"/>
      <c r="E119" s="39"/>
    </row>
    <row r="120" spans="1:5" ht="14.25" customHeight="1" x14ac:dyDescent="0.45">
      <c r="A120" s="13"/>
      <c r="B120" s="32"/>
      <c r="C120" s="33"/>
      <c r="D120" s="34"/>
      <c r="E120" s="35"/>
    </row>
    <row r="121" spans="1:5" ht="14.25" customHeight="1" x14ac:dyDescent="0.45">
      <c r="A121" s="17"/>
      <c r="B121" s="36"/>
      <c r="C121" s="37"/>
      <c r="D121" s="38"/>
      <c r="E121" s="39"/>
    </row>
    <row r="122" spans="1:5" ht="14.25" customHeight="1" x14ac:dyDescent="0.45">
      <c r="A122" s="13"/>
      <c r="B122" s="32"/>
      <c r="C122" s="33"/>
      <c r="D122" s="33"/>
      <c r="E122" s="35"/>
    </row>
    <row r="123" spans="1:5" ht="14.25" customHeight="1" x14ac:dyDescent="0.45">
      <c r="A123" s="17"/>
      <c r="B123" s="36"/>
      <c r="C123" s="37"/>
      <c r="D123" s="37"/>
      <c r="E123" s="39"/>
    </row>
    <row r="124" spans="1:5" ht="14.25" customHeight="1" x14ac:dyDescent="0.45">
      <c r="A124" s="13"/>
      <c r="B124" s="32"/>
      <c r="C124" s="33"/>
      <c r="D124" s="34"/>
      <c r="E124" s="35"/>
    </row>
    <row r="125" spans="1:5" ht="14.25" customHeight="1" x14ac:dyDescent="0.45">
      <c r="A125" s="17"/>
      <c r="B125" s="36"/>
      <c r="C125" s="37"/>
      <c r="D125" s="38"/>
      <c r="E125" s="39"/>
    </row>
    <row r="126" spans="1:5" ht="14.25" customHeight="1" x14ac:dyDescent="0.45">
      <c r="A126" s="13"/>
      <c r="B126" s="32"/>
      <c r="C126" s="33"/>
      <c r="D126" s="33"/>
      <c r="E126" s="35"/>
    </row>
    <row r="127" spans="1:5" ht="14.25" customHeight="1" x14ac:dyDescent="0.45">
      <c r="A127" s="17"/>
      <c r="B127" s="36"/>
      <c r="C127" s="37"/>
      <c r="D127" s="37"/>
      <c r="E127" s="39"/>
    </row>
    <row r="128" spans="1:5" ht="14.25" customHeight="1" x14ac:dyDescent="0.45">
      <c r="A128" s="13"/>
      <c r="B128" s="32"/>
      <c r="C128" s="33"/>
      <c r="D128" s="34"/>
      <c r="E128" s="35"/>
    </row>
    <row r="129" spans="1:5" ht="14.25" customHeight="1" x14ac:dyDescent="0.45">
      <c r="A129" s="17"/>
      <c r="B129" s="36"/>
      <c r="C129" s="37"/>
      <c r="D129" s="38"/>
      <c r="E129" s="39"/>
    </row>
    <row r="130" spans="1:5" ht="14.25" customHeight="1" x14ac:dyDescent="0.45">
      <c r="A130" s="13"/>
      <c r="B130" s="32"/>
      <c r="C130" s="33"/>
      <c r="D130" s="33"/>
      <c r="E130" s="35"/>
    </row>
    <row r="131" spans="1:5" ht="14.25" customHeight="1" x14ac:dyDescent="0.45">
      <c r="A131" s="17"/>
      <c r="B131" s="36"/>
      <c r="C131" s="37"/>
      <c r="D131" s="37"/>
      <c r="E131" s="39"/>
    </row>
    <row r="132" spans="1:5" ht="14.25" customHeight="1" x14ac:dyDescent="0.45">
      <c r="A132" s="13"/>
      <c r="B132" s="32"/>
      <c r="C132" s="33"/>
      <c r="D132" s="34"/>
      <c r="E132" s="35"/>
    </row>
    <row r="133" spans="1:5" ht="14.25" customHeight="1" x14ac:dyDescent="0.45">
      <c r="A133" s="17"/>
      <c r="B133" s="36"/>
      <c r="C133" s="37"/>
      <c r="D133" s="38"/>
      <c r="E133" s="39"/>
    </row>
    <row r="134" spans="1:5" ht="14.25" customHeight="1" x14ac:dyDescent="0.45">
      <c r="A134" s="13"/>
      <c r="B134" s="32"/>
      <c r="C134" s="33"/>
      <c r="D134" s="33"/>
      <c r="E134" s="35"/>
    </row>
    <row r="135" spans="1:5" ht="14.25" customHeight="1" x14ac:dyDescent="0.45">
      <c r="A135" s="17"/>
      <c r="B135" s="36"/>
      <c r="C135" s="37"/>
      <c r="D135" s="37"/>
      <c r="E135" s="39"/>
    </row>
    <row r="136" spans="1:5" ht="14.25" customHeight="1" x14ac:dyDescent="0.45">
      <c r="A136" s="13"/>
      <c r="B136" s="32"/>
      <c r="C136" s="33"/>
      <c r="D136" s="34"/>
      <c r="E136" s="35"/>
    </row>
    <row r="137" spans="1:5" ht="14.25" customHeight="1" x14ac:dyDescent="0.45">
      <c r="A137" s="17"/>
      <c r="B137" s="36"/>
      <c r="C137" s="37"/>
      <c r="D137" s="38"/>
      <c r="E137" s="39"/>
    </row>
    <row r="138" spans="1:5" ht="14.25" customHeight="1" x14ac:dyDescent="0.45">
      <c r="A138" s="13"/>
      <c r="B138" s="32"/>
      <c r="C138" s="33"/>
      <c r="D138" s="33"/>
      <c r="E138" s="35"/>
    </row>
    <row r="139" spans="1:5" ht="14.25" customHeight="1" x14ac:dyDescent="0.45">
      <c r="A139" s="17"/>
      <c r="B139" s="36"/>
      <c r="C139" s="37"/>
      <c r="D139" s="37"/>
      <c r="E139" s="39"/>
    </row>
    <row r="140" spans="1:5" ht="14.25" customHeight="1" x14ac:dyDescent="0.45">
      <c r="A140" s="13"/>
      <c r="B140" s="32"/>
      <c r="C140" s="33"/>
      <c r="D140" s="34"/>
      <c r="E140" s="35"/>
    </row>
    <row r="141" spans="1:5" ht="14.25" customHeight="1" x14ac:dyDescent="0.45">
      <c r="A141" s="17"/>
      <c r="B141" s="36"/>
      <c r="C141" s="37"/>
      <c r="D141" s="38"/>
      <c r="E141" s="39"/>
    </row>
    <row r="142" spans="1:5" ht="14.25" customHeight="1" x14ac:dyDescent="0.45">
      <c r="A142" s="13"/>
      <c r="B142" s="32"/>
      <c r="C142" s="33"/>
      <c r="D142" s="33"/>
      <c r="E142" s="35"/>
    </row>
    <row r="143" spans="1:5" ht="14.25" customHeight="1" x14ac:dyDescent="0.45">
      <c r="A143" s="17"/>
      <c r="B143" s="36"/>
      <c r="C143" s="37"/>
      <c r="D143" s="37"/>
      <c r="E143" s="39"/>
    </row>
    <row r="144" spans="1:5" ht="14.25" customHeight="1" x14ac:dyDescent="0.45">
      <c r="A144" s="13"/>
      <c r="B144" s="32"/>
      <c r="C144" s="33"/>
      <c r="D144" s="34"/>
      <c r="E144" s="35"/>
    </row>
    <row r="145" spans="1:5" ht="14.25" customHeight="1" x14ac:dyDescent="0.45">
      <c r="A145" s="17"/>
      <c r="B145" s="36"/>
      <c r="C145" s="37"/>
      <c r="D145" s="38"/>
      <c r="E145" s="39"/>
    </row>
    <row r="146" spans="1:5" ht="14.25" customHeight="1" x14ac:dyDescent="0.45">
      <c r="A146" s="13"/>
      <c r="B146" s="32"/>
      <c r="C146" s="33"/>
      <c r="D146" s="33"/>
      <c r="E146" s="35"/>
    </row>
    <row r="147" spans="1:5" ht="14.25" customHeight="1" x14ac:dyDescent="0.45">
      <c r="A147" s="17"/>
      <c r="B147" s="36"/>
      <c r="C147" s="37"/>
      <c r="D147" s="37"/>
      <c r="E147" s="39"/>
    </row>
    <row r="148" spans="1:5" ht="14.25" customHeight="1" x14ac:dyDescent="0.45">
      <c r="A148" s="13"/>
      <c r="B148" s="32"/>
      <c r="C148" s="33"/>
      <c r="D148" s="34"/>
      <c r="E148" s="35"/>
    </row>
    <row r="149" spans="1:5" ht="14.25" customHeight="1" x14ac:dyDescent="0.45">
      <c r="A149" s="17"/>
      <c r="B149" s="36"/>
      <c r="C149" s="37"/>
      <c r="D149" s="38"/>
      <c r="E149" s="39"/>
    </row>
    <row r="150" spans="1:5" ht="14.25" customHeight="1" x14ac:dyDescent="0.45">
      <c r="A150" s="13"/>
      <c r="B150" s="32"/>
      <c r="C150" s="33"/>
      <c r="D150" s="33"/>
      <c r="E150" s="35"/>
    </row>
    <row r="151" spans="1:5" ht="14.25" customHeight="1" x14ac:dyDescent="0.45">
      <c r="A151" s="17"/>
      <c r="B151" s="36"/>
      <c r="C151" s="37"/>
      <c r="D151" s="37"/>
      <c r="E151" s="39"/>
    </row>
    <row r="152" spans="1:5" ht="14.25" customHeight="1" x14ac:dyDescent="0.45">
      <c r="A152" s="13"/>
      <c r="B152" s="32"/>
      <c r="C152" s="33"/>
      <c r="D152" s="34"/>
      <c r="E152" s="35"/>
    </row>
    <row r="153" spans="1:5" ht="14.25" customHeight="1" x14ac:dyDescent="0.45">
      <c r="A153" s="17"/>
      <c r="B153" s="36"/>
      <c r="C153" s="37"/>
      <c r="D153" s="38"/>
      <c r="E153" s="39"/>
    </row>
    <row r="154" spans="1:5" ht="14.25" customHeight="1" x14ac:dyDescent="0.45">
      <c r="A154" s="13"/>
      <c r="B154" s="32"/>
      <c r="C154" s="33"/>
      <c r="D154" s="33"/>
      <c r="E154" s="35"/>
    </row>
    <row r="155" spans="1:5" ht="14.25" customHeight="1" x14ac:dyDescent="0.45">
      <c r="A155" s="17"/>
      <c r="B155" s="36"/>
      <c r="C155" s="37"/>
      <c r="D155" s="37"/>
      <c r="E155" s="39"/>
    </row>
    <row r="156" spans="1:5" ht="14.25" customHeight="1" x14ac:dyDescent="0.45">
      <c r="A156" s="13"/>
      <c r="B156" s="32"/>
      <c r="C156" s="33"/>
      <c r="D156" s="34"/>
      <c r="E156" s="35"/>
    </row>
    <row r="157" spans="1:5" ht="14.25" customHeight="1" x14ac:dyDescent="0.45">
      <c r="A157" s="17"/>
      <c r="B157" s="36"/>
      <c r="C157" s="37"/>
      <c r="D157" s="38"/>
      <c r="E157" s="39"/>
    </row>
    <row r="158" spans="1:5" ht="14.25" customHeight="1" x14ac:dyDescent="0.45">
      <c r="A158" s="13"/>
      <c r="B158" s="32"/>
      <c r="C158" s="33"/>
      <c r="D158" s="33"/>
      <c r="E158" s="35"/>
    </row>
    <row r="159" spans="1:5" ht="14.25" customHeight="1" x14ac:dyDescent="0.45">
      <c r="A159" s="17"/>
      <c r="B159" s="36"/>
      <c r="C159" s="37"/>
      <c r="D159" s="37"/>
      <c r="E159" s="39"/>
    </row>
    <row r="160" spans="1:5" ht="14.25" customHeight="1" x14ac:dyDescent="0.45">
      <c r="A160" s="13"/>
      <c r="B160" s="32"/>
      <c r="C160" s="33"/>
      <c r="D160" s="34"/>
      <c r="E160" s="35"/>
    </row>
    <row r="161" spans="1:5" ht="14.25" customHeight="1" x14ac:dyDescent="0.45">
      <c r="A161" s="17"/>
      <c r="B161" s="36"/>
      <c r="C161" s="37"/>
      <c r="D161" s="38"/>
      <c r="E161" s="39"/>
    </row>
    <row r="162" spans="1:5" ht="14.25" customHeight="1" x14ac:dyDescent="0.45">
      <c r="A162" s="13"/>
      <c r="B162" s="32"/>
      <c r="C162" s="33"/>
      <c r="D162" s="33"/>
      <c r="E162" s="35"/>
    </row>
    <row r="163" spans="1:5" ht="14.25" customHeight="1" x14ac:dyDescent="0.45">
      <c r="A163" s="17"/>
      <c r="B163" s="36"/>
      <c r="C163" s="37"/>
      <c r="D163" s="37"/>
      <c r="E163" s="39"/>
    </row>
    <row r="164" spans="1:5" ht="14.25" customHeight="1" x14ac:dyDescent="0.45">
      <c r="A164" s="13"/>
      <c r="B164" s="32"/>
      <c r="C164" s="33"/>
      <c r="D164" s="34"/>
      <c r="E164" s="35"/>
    </row>
    <row r="165" spans="1:5" ht="14.25" customHeight="1" x14ac:dyDescent="0.45">
      <c r="A165" s="17"/>
      <c r="B165" s="36"/>
      <c r="C165" s="37"/>
      <c r="D165" s="38"/>
      <c r="E165" s="39"/>
    </row>
    <row r="166" spans="1:5" ht="14.25" customHeight="1" x14ac:dyDescent="0.45">
      <c r="A166" s="13"/>
      <c r="B166" s="32"/>
      <c r="C166" s="33"/>
      <c r="D166" s="33"/>
      <c r="E166" s="35"/>
    </row>
    <row r="167" spans="1:5" ht="14.25" customHeight="1" x14ac:dyDescent="0.45">
      <c r="A167" s="17"/>
      <c r="B167" s="36"/>
      <c r="C167" s="37"/>
      <c r="D167" s="37"/>
      <c r="E167" s="39"/>
    </row>
    <row r="168" spans="1:5" ht="14.25" customHeight="1" x14ac:dyDescent="0.45">
      <c r="A168" s="13"/>
      <c r="B168" s="32"/>
      <c r="C168" s="33"/>
      <c r="D168" s="34"/>
      <c r="E168" s="35"/>
    </row>
    <row r="169" spans="1:5" ht="14.25" customHeight="1" x14ac:dyDescent="0.45">
      <c r="A169" s="17"/>
      <c r="B169" s="36"/>
      <c r="C169" s="37"/>
      <c r="D169" s="38"/>
      <c r="E169" s="39"/>
    </row>
    <row r="170" spans="1:5" ht="14.25" customHeight="1" x14ac:dyDescent="0.45">
      <c r="A170" s="13"/>
      <c r="B170" s="32"/>
      <c r="C170" s="33"/>
      <c r="D170" s="33"/>
      <c r="E170" s="35"/>
    </row>
    <row r="171" spans="1:5" ht="14.25" customHeight="1" x14ac:dyDescent="0.45">
      <c r="A171" s="17"/>
      <c r="B171" s="36"/>
      <c r="C171" s="37"/>
      <c r="D171" s="37"/>
      <c r="E171" s="39"/>
    </row>
    <row r="172" spans="1:5" ht="14.25" customHeight="1" x14ac:dyDescent="0.45">
      <c r="A172" s="13"/>
      <c r="B172" s="32"/>
      <c r="C172" s="33"/>
      <c r="D172" s="34"/>
      <c r="E172" s="35"/>
    </row>
    <row r="173" spans="1:5" ht="14.25" customHeight="1" x14ac:dyDescent="0.45">
      <c r="A173" s="17"/>
      <c r="B173" s="36"/>
      <c r="C173" s="37"/>
      <c r="D173" s="38"/>
      <c r="E173" s="39"/>
    </row>
    <row r="174" spans="1:5" ht="14.25" customHeight="1" x14ac:dyDescent="0.45">
      <c r="A174" s="13"/>
      <c r="B174" s="32"/>
      <c r="C174" s="33"/>
      <c r="D174" s="33"/>
      <c r="E174" s="35"/>
    </row>
    <row r="175" spans="1:5" ht="14.25" customHeight="1" x14ac:dyDescent="0.45">
      <c r="A175" s="17"/>
      <c r="B175" s="36"/>
      <c r="C175" s="37"/>
      <c r="D175" s="37"/>
      <c r="E175" s="39"/>
    </row>
    <row r="176" spans="1:5" ht="14.25" customHeight="1" x14ac:dyDescent="0.45">
      <c r="A176" s="13"/>
      <c r="B176" s="32"/>
      <c r="C176" s="33"/>
      <c r="D176" s="34"/>
      <c r="E176" s="35"/>
    </row>
    <row r="177" spans="1:5" ht="14.25" customHeight="1" x14ac:dyDescent="0.45">
      <c r="A177" s="17"/>
      <c r="B177" s="36"/>
      <c r="C177" s="37"/>
      <c r="D177" s="38"/>
      <c r="E177" s="39"/>
    </row>
    <row r="178" spans="1:5" ht="14.25" customHeight="1" x14ac:dyDescent="0.45">
      <c r="A178" s="13"/>
      <c r="B178" s="32"/>
      <c r="C178" s="33"/>
      <c r="D178" s="33"/>
      <c r="E178" s="35"/>
    </row>
    <row r="179" spans="1:5" ht="14.25" customHeight="1" x14ac:dyDescent="0.45">
      <c r="A179" s="17"/>
      <c r="B179" s="36"/>
      <c r="C179" s="37"/>
      <c r="D179" s="37"/>
      <c r="E179" s="39"/>
    </row>
    <row r="180" spans="1:5" ht="14.25" customHeight="1" x14ac:dyDescent="0.45">
      <c r="A180" s="13"/>
      <c r="B180" s="32"/>
      <c r="C180" s="33"/>
      <c r="D180" s="34"/>
      <c r="E180" s="35"/>
    </row>
    <row r="181" spans="1:5" ht="14.25" customHeight="1" x14ac:dyDescent="0.45">
      <c r="A181" s="17"/>
      <c r="B181" s="36"/>
      <c r="C181" s="37"/>
      <c r="D181" s="38"/>
      <c r="E181" s="39"/>
    </row>
    <row r="182" spans="1:5" ht="14.25" customHeight="1" x14ac:dyDescent="0.45">
      <c r="A182" s="13"/>
      <c r="B182" s="32"/>
      <c r="C182" s="33"/>
      <c r="D182" s="33"/>
      <c r="E182" s="35"/>
    </row>
    <row r="183" spans="1:5" ht="14.25" customHeight="1" x14ac:dyDescent="0.45">
      <c r="A183" s="17"/>
      <c r="B183" s="36"/>
      <c r="C183" s="37"/>
      <c r="D183" s="37"/>
      <c r="E183" s="39"/>
    </row>
    <row r="184" spans="1:5" ht="14.25" customHeight="1" x14ac:dyDescent="0.45">
      <c r="A184" s="13"/>
      <c r="B184" s="32"/>
      <c r="C184" s="33"/>
      <c r="D184" s="34"/>
      <c r="E184" s="35"/>
    </row>
    <row r="185" spans="1:5" ht="14.25" customHeight="1" x14ac:dyDescent="0.45">
      <c r="A185" s="17"/>
      <c r="B185" s="36"/>
      <c r="C185" s="37"/>
      <c r="D185" s="38"/>
      <c r="E185" s="39"/>
    </row>
    <row r="186" spans="1:5" ht="14.25" customHeight="1" x14ac:dyDescent="0.45">
      <c r="A186" s="13"/>
      <c r="B186" s="32"/>
      <c r="C186" s="33"/>
      <c r="D186" s="33"/>
      <c r="E186" s="35"/>
    </row>
    <row r="187" spans="1:5" ht="14.25" customHeight="1" x14ac:dyDescent="0.45">
      <c r="A187" s="17"/>
      <c r="B187" s="36"/>
      <c r="C187" s="37"/>
      <c r="D187" s="37"/>
      <c r="E187" s="39"/>
    </row>
    <row r="188" spans="1:5" ht="14.25" customHeight="1" x14ac:dyDescent="0.45">
      <c r="A188" s="13"/>
      <c r="B188" s="32"/>
      <c r="C188" s="33"/>
      <c r="D188" s="34"/>
      <c r="E188" s="35"/>
    </row>
    <row r="189" spans="1:5" ht="14.25" customHeight="1" x14ac:dyDescent="0.45">
      <c r="A189" s="17"/>
      <c r="B189" s="36"/>
      <c r="C189" s="37"/>
      <c r="D189" s="38"/>
      <c r="E189" s="39"/>
    </row>
    <row r="190" spans="1:5" ht="14.25" customHeight="1" x14ac:dyDescent="0.45">
      <c r="A190" s="13"/>
      <c r="B190" s="32"/>
      <c r="C190" s="33"/>
      <c r="D190" s="33"/>
      <c r="E190" s="35"/>
    </row>
    <row r="191" spans="1:5" ht="14.25" customHeight="1" x14ac:dyDescent="0.45">
      <c r="A191" s="17"/>
      <c r="B191" s="36"/>
      <c r="C191" s="37"/>
      <c r="D191" s="37"/>
      <c r="E191" s="39"/>
    </row>
    <row r="192" spans="1:5" ht="14.25" customHeight="1" x14ac:dyDescent="0.45">
      <c r="A192" s="13"/>
      <c r="B192" s="32"/>
      <c r="C192" s="33"/>
      <c r="D192" s="34"/>
      <c r="E192" s="35"/>
    </row>
    <row r="193" spans="1:5" ht="14.25" customHeight="1" x14ac:dyDescent="0.45">
      <c r="A193" s="17"/>
      <c r="B193" s="36"/>
      <c r="C193" s="37"/>
      <c r="D193" s="38"/>
      <c r="E193" s="39"/>
    </row>
    <row r="194" spans="1:5" ht="14.25" customHeight="1" x14ac:dyDescent="0.45">
      <c r="A194" s="13"/>
      <c r="B194" s="32"/>
      <c r="C194" s="33"/>
      <c r="D194" s="33"/>
      <c r="E194" s="35"/>
    </row>
    <row r="195" spans="1:5" ht="14.25" customHeight="1" x14ac:dyDescent="0.45">
      <c r="A195" s="17"/>
      <c r="B195" s="36"/>
      <c r="C195" s="37"/>
      <c r="D195" s="37"/>
      <c r="E195" s="39"/>
    </row>
    <row r="196" spans="1:5" ht="14.25" customHeight="1" x14ac:dyDescent="0.45">
      <c r="A196" s="13"/>
      <c r="B196" s="32"/>
      <c r="C196" s="33"/>
      <c r="D196" s="34"/>
      <c r="E196" s="35"/>
    </row>
    <row r="197" spans="1:5" ht="14.25" customHeight="1" x14ac:dyDescent="0.45">
      <c r="A197" s="17"/>
      <c r="B197" s="36"/>
      <c r="C197" s="37"/>
      <c r="D197" s="38"/>
      <c r="E197" s="39"/>
    </row>
    <row r="198" spans="1:5" ht="14.25" customHeight="1" x14ac:dyDescent="0.45">
      <c r="A198" s="13"/>
      <c r="B198" s="32"/>
      <c r="C198" s="33"/>
      <c r="D198" s="33"/>
      <c r="E198" s="35"/>
    </row>
    <row r="199" spans="1:5" ht="14.25" customHeight="1" x14ac:dyDescent="0.45">
      <c r="A199" s="17"/>
      <c r="B199" s="36"/>
      <c r="C199" s="37"/>
      <c r="D199" s="37"/>
      <c r="E199" s="39"/>
    </row>
    <row r="200" spans="1:5" ht="14.25" customHeight="1" x14ac:dyDescent="0.45">
      <c r="A200" s="13"/>
      <c r="B200" s="32"/>
      <c r="C200" s="33"/>
      <c r="D200" s="34"/>
      <c r="E200" s="35"/>
    </row>
    <row r="201" spans="1:5" ht="14.25" customHeight="1" x14ac:dyDescent="0.45">
      <c r="A201" s="17"/>
      <c r="B201" s="36"/>
      <c r="C201" s="37"/>
      <c r="D201" s="38"/>
      <c r="E201" s="39"/>
    </row>
    <row r="202" spans="1:5" ht="14.25" customHeight="1" x14ac:dyDescent="0.45">
      <c r="A202" s="13"/>
      <c r="B202" s="32"/>
      <c r="C202" s="33"/>
      <c r="D202" s="33"/>
      <c r="E202" s="35"/>
    </row>
    <row r="203" spans="1:5" ht="14.25" customHeight="1" x14ac:dyDescent="0.45">
      <c r="A203" s="17"/>
      <c r="B203" s="36"/>
      <c r="C203" s="37"/>
      <c r="D203" s="37"/>
      <c r="E203" s="39"/>
    </row>
    <row r="204" spans="1:5" ht="14.25" customHeight="1" x14ac:dyDescent="0.45">
      <c r="A204" s="13"/>
      <c r="B204" s="32"/>
      <c r="C204" s="33"/>
      <c r="D204" s="34"/>
      <c r="E204" s="35"/>
    </row>
    <row r="205" spans="1:5" ht="14.25" customHeight="1" x14ac:dyDescent="0.45">
      <c r="A205" s="17"/>
      <c r="B205" s="36"/>
      <c r="C205" s="37"/>
      <c r="D205" s="38"/>
      <c r="E205" s="39"/>
    </row>
    <row r="206" spans="1:5" ht="14.25" customHeight="1" x14ac:dyDescent="0.45">
      <c r="A206" s="13"/>
      <c r="B206" s="32"/>
      <c r="C206" s="33"/>
      <c r="D206" s="33"/>
      <c r="E206" s="35"/>
    </row>
    <row r="207" spans="1:5" ht="14.25" customHeight="1" x14ac:dyDescent="0.45">
      <c r="A207" s="17"/>
      <c r="B207" s="36"/>
      <c r="C207" s="37"/>
      <c r="D207" s="37"/>
      <c r="E207" s="39"/>
    </row>
    <row r="208" spans="1:5" ht="14.25" customHeight="1" x14ac:dyDescent="0.45">
      <c r="A208" s="13"/>
      <c r="B208" s="32"/>
      <c r="C208" s="33"/>
      <c r="D208" s="34"/>
      <c r="E208" s="35"/>
    </row>
    <row r="209" spans="1:5" ht="14.25" customHeight="1" x14ac:dyDescent="0.45">
      <c r="A209" s="17"/>
      <c r="B209" s="36"/>
      <c r="C209" s="37"/>
      <c r="D209" s="38"/>
      <c r="E209" s="39"/>
    </row>
    <row r="210" spans="1:5" ht="14.25" customHeight="1" x14ac:dyDescent="0.45">
      <c r="A210" s="13"/>
      <c r="B210" s="32"/>
      <c r="C210" s="33"/>
      <c r="D210" s="33"/>
      <c r="E210" s="35"/>
    </row>
    <row r="211" spans="1:5" ht="14.25" customHeight="1" x14ac:dyDescent="0.45">
      <c r="A211" s="17"/>
      <c r="B211" s="36"/>
      <c r="C211" s="37"/>
      <c r="D211" s="37"/>
      <c r="E211" s="39"/>
    </row>
    <row r="212" spans="1:5" ht="14.25" customHeight="1" x14ac:dyDescent="0.45">
      <c r="A212" s="13"/>
      <c r="B212" s="32"/>
      <c r="C212" s="33"/>
      <c r="D212" s="34"/>
      <c r="E212" s="35"/>
    </row>
    <row r="213" spans="1:5" ht="14.25" customHeight="1" x14ac:dyDescent="0.45">
      <c r="A213" s="17"/>
      <c r="B213" s="36"/>
      <c r="C213" s="37"/>
      <c r="D213" s="38"/>
      <c r="E213" s="39"/>
    </row>
    <row r="214" spans="1:5" ht="14.25" customHeight="1" x14ac:dyDescent="0.45">
      <c r="A214" s="13"/>
      <c r="B214" s="32"/>
      <c r="C214" s="33"/>
      <c r="D214" s="33"/>
      <c r="E214" s="35"/>
    </row>
    <row r="215" spans="1:5" ht="14.25" customHeight="1" x14ac:dyDescent="0.45">
      <c r="A215" s="17"/>
      <c r="B215" s="36"/>
      <c r="C215" s="37"/>
      <c r="D215" s="37"/>
      <c r="E215" s="39"/>
    </row>
    <row r="216" spans="1:5" ht="14.25" customHeight="1" x14ac:dyDescent="0.45">
      <c r="A216" s="13"/>
      <c r="B216" s="32"/>
      <c r="C216" s="33"/>
      <c r="D216" s="34"/>
      <c r="E216" s="35"/>
    </row>
    <row r="217" spans="1:5" ht="14.25" customHeight="1" x14ac:dyDescent="0.45">
      <c r="A217" s="17"/>
      <c r="B217" s="36"/>
      <c r="C217" s="37"/>
      <c r="D217" s="38"/>
      <c r="E217" s="39"/>
    </row>
    <row r="218" spans="1:5" ht="14.25" customHeight="1" x14ac:dyDescent="0.45">
      <c r="A218" s="13"/>
      <c r="B218" s="32"/>
      <c r="C218" s="33"/>
      <c r="D218" s="33"/>
      <c r="E218" s="35"/>
    </row>
    <row r="219" spans="1:5" ht="14.25" customHeight="1" x14ac:dyDescent="0.45">
      <c r="A219" s="17"/>
      <c r="B219" s="36"/>
      <c r="C219" s="37"/>
      <c r="D219" s="37"/>
      <c r="E219" s="39"/>
    </row>
    <row r="220" spans="1:5" ht="14.25" customHeight="1" x14ac:dyDescent="0.45">
      <c r="A220" s="13"/>
      <c r="B220" s="32"/>
      <c r="C220" s="33"/>
      <c r="D220" s="34"/>
      <c r="E220" s="35"/>
    </row>
    <row r="221" spans="1:5" ht="14.25" customHeight="1" x14ac:dyDescent="0.45">
      <c r="A221" s="17"/>
      <c r="B221" s="36"/>
      <c r="C221" s="37"/>
      <c r="D221" s="38"/>
      <c r="E221" s="39"/>
    </row>
    <row r="222" spans="1:5" ht="14.25" customHeight="1" x14ac:dyDescent="0.45">
      <c r="A222" s="13"/>
      <c r="B222" s="32"/>
      <c r="C222" s="33"/>
      <c r="D222" s="33"/>
      <c r="E222" s="35"/>
    </row>
    <row r="223" spans="1:5" ht="14.25" customHeight="1" x14ac:dyDescent="0.45">
      <c r="A223" s="17"/>
      <c r="B223" s="36"/>
      <c r="C223" s="37"/>
      <c r="D223" s="37"/>
      <c r="E223" s="39"/>
    </row>
    <row r="224" spans="1:5" ht="14.25" customHeight="1" x14ac:dyDescent="0.45">
      <c r="A224" s="13"/>
      <c r="B224" s="32"/>
      <c r="C224" s="33"/>
      <c r="D224" s="34"/>
      <c r="E224" s="35"/>
    </row>
    <row r="225" spans="1:5" ht="14.25" customHeight="1" x14ac:dyDescent="0.45">
      <c r="A225" s="17"/>
      <c r="B225" s="36"/>
      <c r="C225" s="37"/>
      <c r="D225" s="38"/>
      <c r="E225" s="39"/>
    </row>
    <row r="226" spans="1:5" ht="14.25" customHeight="1" x14ac:dyDescent="0.45">
      <c r="A226" s="13"/>
      <c r="B226" s="32"/>
      <c r="C226" s="33"/>
      <c r="D226" s="33"/>
      <c r="E226" s="35"/>
    </row>
    <row r="227" spans="1:5" ht="14.25" customHeight="1" x14ac:dyDescent="0.45">
      <c r="A227" s="17"/>
      <c r="B227" s="36"/>
      <c r="C227" s="37"/>
      <c r="D227" s="37"/>
      <c r="E227" s="39"/>
    </row>
    <row r="228" spans="1:5" ht="14.25" customHeight="1" x14ac:dyDescent="0.45">
      <c r="A228" s="13"/>
      <c r="B228" s="32"/>
      <c r="C228" s="33"/>
      <c r="D228" s="34"/>
      <c r="E228" s="35"/>
    </row>
    <row r="229" spans="1:5" ht="14.25" customHeight="1" x14ac:dyDescent="0.45">
      <c r="A229" s="17"/>
      <c r="B229" s="36"/>
      <c r="C229" s="37"/>
      <c r="D229" s="38"/>
      <c r="E229" s="39"/>
    </row>
    <row r="230" spans="1:5" ht="14.25" customHeight="1" x14ac:dyDescent="0.45">
      <c r="A230" s="13"/>
      <c r="B230" s="32"/>
      <c r="C230" s="33"/>
      <c r="D230" s="33"/>
      <c r="E230" s="35"/>
    </row>
    <row r="231" spans="1:5" ht="14.25" customHeight="1" x14ac:dyDescent="0.45">
      <c r="A231" s="17"/>
      <c r="B231" s="36"/>
      <c r="C231" s="37"/>
      <c r="D231" s="37"/>
      <c r="E231" s="39"/>
    </row>
    <row r="232" spans="1:5" ht="14.25" customHeight="1" x14ac:dyDescent="0.45">
      <c r="A232" s="13"/>
      <c r="B232" s="32"/>
      <c r="C232" s="33"/>
      <c r="D232" s="34"/>
      <c r="E232" s="35"/>
    </row>
    <row r="233" spans="1:5" ht="14.25" customHeight="1" x14ac:dyDescent="0.45">
      <c r="A233" s="17"/>
      <c r="B233" s="36"/>
      <c r="C233" s="37"/>
      <c r="D233" s="38"/>
      <c r="E233" s="39"/>
    </row>
    <row r="234" spans="1:5" ht="14.25" customHeight="1" x14ac:dyDescent="0.45">
      <c r="A234" s="13"/>
      <c r="B234" s="32"/>
      <c r="C234" s="33"/>
      <c r="D234" s="33"/>
      <c r="E234" s="35"/>
    </row>
    <row r="235" spans="1:5" ht="14.25" customHeight="1" x14ac:dyDescent="0.45">
      <c r="A235" s="17"/>
      <c r="B235" s="36"/>
      <c r="C235" s="37"/>
      <c r="D235" s="37"/>
      <c r="E235" s="39"/>
    </row>
    <row r="236" spans="1:5" ht="14.25" customHeight="1" x14ac:dyDescent="0.45">
      <c r="A236" s="13"/>
      <c r="B236" s="32"/>
      <c r="C236" s="33"/>
      <c r="D236" s="34"/>
      <c r="E236" s="35"/>
    </row>
    <row r="237" spans="1:5" ht="14.25" customHeight="1" x14ac:dyDescent="0.45">
      <c r="A237" s="17"/>
      <c r="B237" s="36"/>
      <c r="C237" s="37"/>
      <c r="D237" s="38"/>
      <c r="E237" s="39"/>
    </row>
    <row r="238" spans="1:5" ht="14.25" customHeight="1" x14ac:dyDescent="0.45">
      <c r="A238" s="13"/>
      <c r="B238" s="32"/>
      <c r="C238" s="33"/>
      <c r="D238" s="33"/>
      <c r="E238" s="35"/>
    </row>
    <row r="239" spans="1:5" ht="14.25" customHeight="1" x14ac:dyDescent="0.45">
      <c r="A239" s="17"/>
      <c r="B239" s="36"/>
      <c r="C239" s="37"/>
      <c r="D239" s="37"/>
      <c r="E239" s="39"/>
    </row>
    <row r="240" spans="1:5" ht="14.25" customHeight="1" x14ac:dyDescent="0.45">
      <c r="A240" s="13"/>
      <c r="B240" s="32"/>
      <c r="C240" s="33"/>
      <c r="D240" s="34"/>
      <c r="E240" s="35"/>
    </row>
    <row r="241" spans="1:5" ht="14.25" customHeight="1" x14ac:dyDescent="0.45">
      <c r="A241" s="17"/>
      <c r="B241" s="36"/>
      <c r="C241" s="37"/>
      <c r="D241" s="38"/>
      <c r="E241" s="39"/>
    </row>
    <row r="242" spans="1:5" ht="14.25" customHeight="1" x14ac:dyDescent="0.45">
      <c r="A242" s="13"/>
      <c r="B242" s="32"/>
      <c r="C242" s="33"/>
      <c r="D242" s="33"/>
      <c r="E242" s="35"/>
    </row>
    <row r="243" spans="1:5" ht="14.25" customHeight="1" x14ac:dyDescent="0.45">
      <c r="A243" s="17"/>
      <c r="B243" s="36"/>
      <c r="C243" s="37"/>
      <c r="D243" s="37"/>
      <c r="E243" s="39"/>
    </row>
    <row r="244" spans="1:5" ht="14.25" customHeight="1" x14ac:dyDescent="0.45">
      <c r="A244" s="13"/>
      <c r="B244" s="32"/>
      <c r="C244" s="33"/>
      <c r="D244" s="34"/>
      <c r="E244" s="35"/>
    </row>
    <row r="245" spans="1:5" ht="14.25" customHeight="1" x14ac:dyDescent="0.45">
      <c r="A245" s="17"/>
      <c r="B245" s="36"/>
      <c r="C245" s="37"/>
      <c r="D245" s="38"/>
      <c r="E245" s="39"/>
    </row>
    <row r="246" spans="1:5" ht="14.25" customHeight="1" x14ac:dyDescent="0.45">
      <c r="A246" s="13"/>
      <c r="B246" s="32"/>
      <c r="C246" s="33"/>
      <c r="D246" s="33"/>
      <c r="E246" s="35"/>
    </row>
    <row r="247" spans="1:5" ht="14.25" customHeight="1" x14ac:dyDescent="0.45">
      <c r="A247" s="17"/>
      <c r="B247" s="36"/>
      <c r="C247" s="37"/>
      <c r="D247" s="37"/>
      <c r="E247" s="39"/>
    </row>
    <row r="248" spans="1:5" ht="14.25" customHeight="1" x14ac:dyDescent="0.45">
      <c r="A248" s="13"/>
      <c r="B248" s="32"/>
      <c r="C248" s="33"/>
      <c r="D248" s="34"/>
      <c r="E248" s="35"/>
    </row>
    <row r="249" spans="1:5" ht="14.25" customHeight="1" x14ac:dyDescent="0.45">
      <c r="A249" s="17"/>
      <c r="B249" s="36"/>
      <c r="C249" s="37"/>
      <c r="D249" s="38"/>
      <c r="E249" s="39"/>
    </row>
    <row r="250" spans="1:5" ht="14.25" customHeight="1" x14ac:dyDescent="0.45">
      <c r="A250" s="13"/>
      <c r="B250" s="32"/>
      <c r="C250" s="33"/>
      <c r="D250" s="33"/>
      <c r="E250" s="35"/>
    </row>
    <row r="251" spans="1:5" ht="14.25" customHeight="1" x14ac:dyDescent="0.45">
      <c r="A251" s="17"/>
      <c r="B251" s="36"/>
      <c r="C251" s="37"/>
      <c r="D251" s="37"/>
      <c r="E251" s="39"/>
    </row>
    <row r="252" spans="1:5" ht="14.25" customHeight="1" x14ac:dyDescent="0.45">
      <c r="A252" s="13"/>
      <c r="B252" s="32"/>
      <c r="C252" s="33"/>
      <c r="D252" s="34"/>
      <c r="E252" s="35"/>
    </row>
    <row r="253" spans="1:5" ht="14.25" customHeight="1" x14ac:dyDescent="0.45">
      <c r="A253" s="17"/>
      <c r="B253" s="36"/>
      <c r="C253" s="37"/>
      <c r="D253" s="38"/>
      <c r="E253" s="39"/>
    </row>
    <row r="254" spans="1:5" ht="14.25" customHeight="1" x14ac:dyDescent="0.45">
      <c r="A254" s="13"/>
      <c r="B254" s="32"/>
      <c r="C254" s="33"/>
      <c r="D254" s="33"/>
      <c r="E254" s="35"/>
    </row>
    <row r="255" spans="1:5" ht="14.25" customHeight="1" x14ac:dyDescent="0.45">
      <c r="A255" s="17"/>
      <c r="B255" s="36"/>
      <c r="C255" s="37"/>
      <c r="D255" s="37"/>
      <c r="E255" s="39"/>
    </row>
    <row r="256" spans="1:5" ht="14.25" customHeight="1" x14ac:dyDescent="0.45">
      <c r="A256" s="13"/>
      <c r="B256" s="32"/>
      <c r="C256" s="33"/>
      <c r="D256" s="34"/>
      <c r="E256" s="35"/>
    </row>
    <row r="257" spans="1:5" ht="14.25" customHeight="1" x14ac:dyDescent="0.45">
      <c r="A257" s="17"/>
      <c r="B257" s="36"/>
      <c r="C257" s="37"/>
      <c r="D257" s="38"/>
      <c r="E257" s="39"/>
    </row>
    <row r="258" spans="1:5" ht="14.25" customHeight="1" x14ac:dyDescent="0.45">
      <c r="A258" s="13"/>
      <c r="B258" s="32"/>
      <c r="C258" s="33"/>
      <c r="D258" s="33"/>
      <c r="E258" s="35"/>
    </row>
    <row r="259" spans="1:5" ht="14.25" customHeight="1" x14ac:dyDescent="0.45">
      <c r="A259" s="17"/>
      <c r="B259" s="36"/>
      <c r="C259" s="37"/>
      <c r="D259" s="37"/>
      <c r="E259" s="39"/>
    </row>
    <row r="260" spans="1:5" ht="14.25" customHeight="1" x14ac:dyDescent="0.45">
      <c r="A260" s="13"/>
      <c r="B260" s="32"/>
      <c r="C260" s="33"/>
      <c r="D260" s="34"/>
      <c r="E260" s="35"/>
    </row>
    <row r="261" spans="1:5" ht="14.25" customHeight="1" x14ac:dyDescent="0.45">
      <c r="A261" s="17"/>
      <c r="B261" s="36"/>
      <c r="C261" s="37"/>
      <c r="D261" s="38"/>
      <c r="E261" s="39"/>
    </row>
    <row r="262" spans="1:5" ht="14.25" customHeight="1" x14ac:dyDescent="0.45">
      <c r="A262" s="13"/>
      <c r="B262" s="32"/>
      <c r="C262" s="33"/>
      <c r="D262" s="33"/>
      <c r="E262" s="35"/>
    </row>
    <row r="263" spans="1:5" ht="14.25" customHeight="1" x14ac:dyDescent="0.45">
      <c r="A263" s="17"/>
      <c r="B263" s="36"/>
      <c r="C263" s="37"/>
      <c r="D263" s="37"/>
      <c r="E263" s="39"/>
    </row>
    <row r="264" spans="1:5" ht="14.25" customHeight="1" x14ac:dyDescent="0.45">
      <c r="A264" s="13"/>
      <c r="B264" s="32"/>
      <c r="C264" s="33"/>
      <c r="D264" s="34"/>
      <c r="E264" s="35"/>
    </row>
    <row r="265" spans="1:5" ht="14.25" customHeight="1" x14ac:dyDescent="0.45">
      <c r="A265" s="17"/>
      <c r="B265" s="36"/>
      <c r="C265" s="37"/>
      <c r="D265" s="38"/>
      <c r="E265" s="39"/>
    </row>
    <row r="266" spans="1:5" ht="14.25" customHeight="1" x14ac:dyDescent="0.45">
      <c r="A266" s="13"/>
      <c r="B266" s="32"/>
      <c r="C266" s="33"/>
      <c r="D266" s="33"/>
      <c r="E266" s="35"/>
    </row>
    <row r="267" spans="1:5" ht="14.25" customHeight="1" x14ac:dyDescent="0.45">
      <c r="A267" s="17"/>
      <c r="B267" s="36"/>
      <c r="C267" s="37"/>
      <c r="D267" s="37"/>
      <c r="E267" s="39"/>
    </row>
    <row r="268" spans="1:5" ht="14.25" customHeight="1" x14ac:dyDescent="0.45">
      <c r="A268" s="13"/>
      <c r="B268" s="32"/>
      <c r="C268" s="33"/>
      <c r="D268" s="34"/>
      <c r="E268" s="35"/>
    </row>
    <row r="269" spans="1:5" ht="14.25" customHeight="1" x14ac:dyDescent="0.45">
      <c r="A269" s="17"/>
      <c r="B269" s="36"/>
      <c r="C269" s="37"/>
      <c r="D269" s="38"/>
      <c r="E269" s="39"/>
    </row>
    <row r="270" spans="1:5" ht="14.25" customHeight="1" x14ac:dyDescent="0.45">
      <c r="A270" s="13"/>
      <c r="B270" s="32"/>
      <c r="C270" s="33"/>
      <c r="D270" s="33"/>
      <c r="E270" s="35"/>
    </row>
    <row r="271" spans="1:5" ht="14.25" customHeight="1" x14ac:dyDescent="0.45">
      <c r="A271" s="17"/>
      <c r="B271" s="36"/>
      <c r="C271" s="37"/>
      <c r="D271" s="37"/>
      <c r="E271" s="39"/>
    </row>
    <row r="272" spans="1:5" ht="14.25" customHeight="1" x14ac:dyDescent="0.45">
      <c r="A272" s="13"/>
      <c r="B272" s="32"/>
      <c r="C272" s="33"/>
      <c r="D272" s="34"/>
      <c r="E272" s="35"/>
    </row>
    <row r="273" spans="1:5" ht="14.25" customHeight="1" x14ac:dyDescent="0.45">
      <c r="A273" s="17"/>
      <c r="B273" s="36"/>
      <c r="C273" s="37"/>
      <c r="D273" s="38"/>
      <c r="E273" s="39"/>
    </row>
    <row r="274" spans="1:5" ht="14.25" customHeight="1" x14ac:dyDescent="0.45">
      <c r="A274" s="13"/>
      <c r="B274" s="32"/>
      <c r="C274" s="33"/>
      <c r="D274" s="33"/>
      <c r="E274" s="35"/>
    </row>
    <row r="275" spans="1:5" ht="14.25" customHeight="1" x14ac:dyDescent="0.45">
      <c r="A275" s="17"/>
      <c r="B275" s="36"/>
      <c r="C275" s="37"/>
      <c r="D275" s="37"/>
      <c r="E275" s="39"/>
    </row>
    <row r="276" spans="1:5" ht="14.25" customHeight="1" x14ac:dyDescent="0.45">
      <c r="A276" s="13"/>
      <c r="B276" s="32"/>
      <c r="C276" s="33"/>
      <c r="D276" s="34"/>
      <c r="E276" s="35"/>
    </row>
    <row r="277" spans="1:5" ht="14.25" customHeight="1" x14ac:dyDescent="0.45">
      <c r="A277" s="17"/>
      <c r="B277" s="36"/>
      <c r="C277" s="37"/>
      <c r="D277" s="38"/>
      <c r="E277" s="39"/>
    </row>
    <row r="278" spans="1:5" ht="14.25" customHeight="1" x14ac:dyDescent="0.45">
      <c r="A278" s="13"/>
      <c r="B278" s="32"/>
      <c r="C278" s="33"/>
      <c r="D278" s="33"/>
      <c r="E278" s="35"/>
    </row>
    <row r="279" spans="1:5" ht="14.25" customHeight="1" x14ac:dyDescent="0.45">
      <c r="A279" s="17"/>
      <c r="B279" s="36"/>
      <c r="C279" s="37"/>
      <c r="D279" s="37"/>
      <c r="E279" s="39"/>
    </row>
    <row r="280" spans="1:5" ht="14.25" customHeight="1" x14ac:dyDescent="0.45">
      <c r="A280" s="13"/>
      <c r="B280" s="32"/>
      <c r="C280" s="33"/>
      <c r="D280" s="34"/>
      <c r="E280" s="35"/>
    </row>
    <row r="281" spans="1:5" ht="14.25" customHeight="1" x14ac:dyDescent="0.45">
      <c r="A281" s="17"/>
      <c r="B281" s="36"/>
      <c r="C281" s="37"/>
      <c r="D281" s="38"/>
      <c r="E281" s="39"/>
    </row>
    <row r="282" spans="1:5" ht="14.25" customHeight="1" x14ac:dyDescent="0.45">
      <c r="A282" s="13"/>
      <c r="B282" s="32"/>
      <c r="C282" s="33"/>
      <c r="D282" s="33"/>
      <c r="E282" s="35"/>
    </row>
    <row r="283" spans="1:5" ht="14.25" customHeight="1" x14ac:dyDescent="0.45">
      <c r="A283" s="17"/>
      <c r="B283" s="36"/>
      <c r="C283" s="37"/>
      <c r="D283" s="37"/>
      <c r="E283" s="39"/>
    </row>
    <row r="284" spans="1:5" ht="14.25" customHeight="1" x14ac:dyDescent="0.45">
      <c r="A284" s="13"/>
      <c r="B284" s="32"/>
      <c r="C284" s="33"/>
      <c r="D284" s="34"/>
      <c r="E284" s="35"/>
    </row>
    <row r="285" spans="1:5" ht="14.25" customHeight="1" x14ac:dyDescent="0.45">
      <c r="A285" s="17"/>
      <c r="B285" s="36"/>
      <c r="C285" s="37"/>
      <c r="D285" s="38"/>
      <c r="E285" s="39"/>
    </row>
    <row r="286" spans="1:5" ht="14.25" customHeight="1" x14ac:dyDescent="0.45">
      <c r="A286" s="13"/>
      <c r="B286" s="32"/>
      <c r="C286" s="33"/>
      <c r="D286" s="33"/>
      <c r="E286" s="35"/>
    </row>
    <row r="287" spans="1:5" ht="14.25" customHeight="1" x14ac:dyDescent="0.45">
      <c r="A287" s="17"/>
      <c r="B287" s="36"/>
      <c r="C287" s="37"/>
      <c r="D287" s="37"/>
      <c r="E287" s="39"/>
    </row>
    <row r="288" spans="1:5" ht="14.25" customHeight="1" x14ac:dyDescent="0.45">
      <c r="A288" s="13"/>
      <c r="B288" s="32"/>
      <c r="C288" s="33"/>
      <c r="D288" s="34"/>
      <c r="E288" s="35"/>
    </row>
    <row r="289" spans="1:5" ht="14.25" customHeight="1" x14ac:dyDescent="0.45">
      <c r="A289" s="17"/>
      <c r="B289" s="36"/>
      <c r="C289" s="37"/>
      <c r="D289" s="38"/>
      <c r="E289" s="39"/>
    </row>
    <row r="290" spans="1:5" ht="14.25" customHeight="1" x14ac:dyDescent="0.45">
      <c r="A290" s="13"/>
      <c r="B290" s="32"/>
      <c r="C290" s="33"/>
      <c r="D290" s="33"/>
      <c r="E290" s="35"/>
    </row>
    <row r="291" spans="1:5" ht="14.25" customHeight="1" x14ac:dyDescent="0.45">
      <c r="A291" s="17"/>
      <c r="B291" s="36"/>
      <c r="C291" s="37"/>
      <c r="D291" s="37"/>
      <c r="E291" s="39"/>
    </row>
    <row r="292" spans="1:5" ht="14.25" customHeight="1" x14ac:dyDescent="0.45">
      <c r="A292" s="13"/>
      <c r="B292" s="32"/>
      <c r="C292" s="33"/>
      <c r="D292" s="34"/>
      <c r="E292" s="35"/>
    </row>
    <row r="293" spans="1:5" ht="14.25" customHeight="1" x14ac:dyDescent="0.45">
      <c r="A293" s="17"/>
      <c r="B293" s="36"/>
      <c r="C293" s="37"/>
      <c r="D293" s="38"/>
      <c r="E293" s="39"/>
    </row>
    <row r="294" spans="1:5" ht="14.25" customHeight="1" x14ac:dyDescent="0.45">
      <c r="A294" s="13"/>
      <c r="B294" s="32"/>
      <c r="C294" s="33"/>
      <c r="D294" s="33"/>
      <c r="E294" s="35"/>
    </row>
    <row r="295" spans="1:5" ht="14.25" customHeight="1" x14ac:dyDescent="0.45">
      <c r="A295" s="17"/>
      <c r="B295" s="36"/>
      <c r="C295" s="37"/>
      <c r="D295" s="37"/>
      <c r="E295" s="39"/>
    </row>
    <row r="296" spans="1:5" ht="14.25" customHeight="1" x14ac:dyDescent="0.45">
      <c r="A296" s="13"/>
      <c r="B296" s="32"/>
      <c r="C296" s="33"/>
      <c r="D296" s="34"/>
      <c r="E296" s="35"/>
    </row>
    <row r="297" spans="1:5" ht="14.25" customHeight="1" x14ac:dyDescent="0.45">
      <c r="A297" s="17"/>
      <c r="B297" s="36"/>
      <c r="C297" s="37"/>
      <c r="D297" s="38"/>
      <c r="E297" s="39"/>
    </row>
    <row r="298" spans="1:5" ht="14.25" customHeight="1" x14ac:dyDescent="0.45">
      <c r="A298" s="13"/>
      <c r="B298" s="32"/>
      <c r="C298" s="33"/>
      <c r="D298" s="33"/>
      <c r="E298" s="35"/>
    </row>
    <row r="299" spans="1:5" ht="14.25" customHeight="1" x14ac:dyDescent="0.45">
      <c r="A299" s="17"/>
      <c r="B299" s="36"/>
      <c r="C299" s="37"/>
      <c r="D299" s="37"/>
      <c r="E299" s="39"/>
    </row>
    <row r="300" spans="1:5" ht="14.25" customHeight="1" x14ac:dyDescent="0.45">
      <c r="A300" s="13"/>
      <c r="B300" s="32"/>
      <c r="C300" s="33"/>
      <c r="D300" s="34"/>
      <c r="E300" s="35"/>
    </row>
    <row r="301" spans="1:5" ht="14.25" customHeight="1" x14ac:dyDescent="0.45">
      <c r="A301" s="17"/>
      <c r="B301" s="36"/>
      <c r="C301" s="37"/>
      <c r="D301" s="38"/>
      <c r="E301" s="39"/>
    </row>
    <row r="302" spans="1:5" ht="14.25" customHeight="1" x14ac:dyDescent="0.45">
      <c r="A302" s="13"/>
      <c r="B302" s="32"/>
      <c r="C302" s="33"/>
      <c r="D302" s="33"/>
      <c r="E302" s="35"/>
    </row>
    <row r="303" spans="1:5" ht="14.25" customHeight="1" x14ac:dyDescent="0.45">
      <c r="A303" s="17"/>
      <c r="B303" s="36"/>
      <c r="C303" s="37"/>
      <c r="D303" s="37"/>
      <c r="E303" s="39"/>
    </row>
    <row r="304" spans="1:5" ht="14.25" customHeight="1" x14ac:dyDescent="0.45">
      <c r="A304" s="13"/>
      <c r="B304" s="32"/>
      <c r="C304" s="33"/>
      <c r="D304" s="34"/>
      <c r="E304" s="35"/>
    </row>
    <row r="305" spans="1:5" ht="14.25" customHeight="1" x14ac:dyDescent="0.45">
      <c r="A305" s="17"/>
      <c r="B305" s="36"/>
      <c r="C305" s="37"/>
      <c r="D305" s="38"/>
      <c r="E305" s="39"/>
    </row>
    <row r="306" spans="1:5" ht="14.25" customHeight="1" x14ac:dyDescent="0.45">
      <c r="A306" s="13"/>
      <c r="B306" s="32"/>
      <c r="C306" s="33"/>
      <c r="D306" s="33"/>
      <c r="E306" s="35"/>
    </row>
    <row r="307" spans="1:5" ht="14.25" customHeight="1" x14ac:dyDescent="0.45">
      <c r="A307" s="17"/>
      <c r="B307" s="36"/>
      <c r="C307" s="37"/>
      <c r="D307" s="37"/>
      <c r="E307" s="39"/>
    </row>
    <row r="308" spans="1:5" ht="14.25" customHeight="1" x14ac:dyDescent="0.45">
      <c r="A308" s="13"/>
      <c r="B308" s="32"/>
      <c r="C308" s="33"/>
      <c r="D308" s="34"/>
      <c r="E308" s="35"/>
    </row>
    <row r="309" spans="1:5" ht="14.25" customHeight="1" x14ac:dyDescent="0.45">
      <c r="A309" s="17"/>
      <c r="B309" s="36"/>
      <c r="C309" s="37"/>
      <c r="D309" s="38"/>
      <c r="E309" s="39"/>
    </row>
    <row r="310" spans="1:5" ht="14.25" customHeight="1" x14ac:dyDescent="0.45">
      <c r="A310" s="13"/>
      <c r="B310" s="32"/>
      <c r="C310" s="33"/>
      <c r="D310" s="33"/>
      <c r="E310" s="35"/>
    </row>
    <row r="311" spans="1:5" ht="14.25" customHeight="1" x14ac:dyDescent="0.45">
      <c r="A311" s="17"/>
      <c r="B311" s="36"/>
      <c r="C311" s="37"/>
      <c r="D311" s="37"/>
      <c r="E311" s="39"/>
    </row>
    <row r="312" spans="1:5" ht="14.25" customHeight="1" x14ac:dyDescent="0.45">
      <c r="A312" s="13"/>
      <c r="B312" s="32"/>
      <c r="C312" s="33"/>
      <c r="D312" s="34"/>
      <c r="E312" s="35"/>
    </row>
    <row r="313" spans="1:5" ht="14.25" customHeight="1" x14ac:dyDescent="0.45">
      <c r="A313" s="17"/>
      <c r="B313" s="36"/>
      <c r="C313" s="37"/>
      <c r="D313" s="38"/>
      <c r="E313" s="39"/>
    </row>
    <row r="314" spans="1:5" ht="14.25" customHeight="1" x14ac:dyDescent="0.45">
      <c r="A314" s="13"/>
      <c r="B314" s="32"/>
      <c r="C314" s="33"/>
      <c r="D314" s="33"/>
      <c r="E314" s="35"/>
    </row>
    <row r="315" spans="1:5" ht="14.25" customHeight="1" x14ac:dyDescent="0.45">
      <c r="A315" s="17"/>
      <c r="B315" s="36"/>
      <c r="C315" s="37"/>
      <c r="D315" s="37"/>
      <c r="E315" s="39"/>
    </row>
    <row r="316" spans="1:5" ht="14.25" customHeight="1" x14ac:dyDescent="0.45">
      <c r="A316" s="13"/>
      <c r="B316" s="32"/>
      <c r="C316" s="33"/>
      <c r="D316" s="34"/>
      <c r="E316" s="35"/>
    </row>
    <row r="317" spans="1:5" ht="14.25" customHeight="1" x14ac:dyDescent="0.45">
      <c r="A317" s="17"/>
      <c r="B317" s="36"/>
      <c r="C317" s="37"/>
      <c r="D317" s="38"/>
      <c r="E317" s="39"/>
    </row>
    <row r="318" spans="1:5" ht="14.25" customHeight="1" x14ac:dyDescent="0.45">
      <c r="A318" s="13"/>
      <c r="B318" s="32"/>
      <c r="C318" s="33"/>
      <c r="D318" s="33"/>
      <c r="E318" s="35"/>
    </row>
    <row r="319" spans="1:5" ht="14.25" customHeight="1" x14ac:dyDescent="0.45">
      <c r="A319" s="17"/>
      <c r="B319" s="36"/>
      <c r="C319" s="37"/>
      <c r="D319" s="37"/>
      <c r="E319" s="39"/>
    </row>
    <row r="320" spans="1:5" ht="14.25" customHeight="1" x14ac:dyDescent="0.45">
      <c r="A320" s="13"/>
      <c r="B320" s="32"/>
      <c r="C320" s="33"/>
      <c r="D320" s="34"/>
      <c r="E320" s="35"/>
    </row>
    <row r="321" spans="1:5" ht="14.25" customHeight="1" x14ac:dyDescent="0.45">
      <c r="A321" s="17"/>
      <c r="B321" s="36"/>
      <c r="C321" s="37"/>
      <c r="D321" s="38"/>
      <c r="E321" s="39"/>
    </row>
    <row r="322" spans="1:5" ht="14.25" customHeight="1" x14ac:dyDescent="0.45">
      <c r="A322" s="13"/>
      <c r="B322" s="32"/>
      <c r="C322" s="33"/>
      <c r="D322" s="33"/>
      <c r="E322" s="35"/>
    </row>
    <row r="323" spans="1:5" ht="14.25" customHeight="1" x14ac:dyDescent="0.45">
      <c r="A323" s="17"/>
      <c r="B323" s="36"/>
      <c r="C323" s="37"/>
      <c r="D323" s="37"/>
      <c r="E323" s="39"/>
    </row>
    <row r="324" spans="1:5" ht="14.25" customHeight="1" x14ac:dyDescent="0.45">
      <c r="A324" s="13"/>
      <c r="B324" s="32"/>
      <c r="C324" s="33"/>
      <c r="D324" s="34"/>
      <c r="E324" s="35"/>
    </row>
    <row r="325" spans="1:5" ht="14.25" customHeight="1" x14ac:dyDescent="0.45">
      <c r="A325" s="17"/>
      <c r="B325" s="36"/>
      <c r="C325" s="37"/>
      <c r="D325" s="38"/>
      <c r="E325" s="39"/>
    </row>
    <row r="326" spans="1:5" ht="14.25" customHeight="1" x14ac:dyDescent="0.45">
      <c r="A326" s="13"/>
      <c r="B326" s="32"/>
      <c r="C326" s="33"/>
      <c r="D326" s="33"/>
      <c r="E326" s="35"/>
    </row>
    <row r="327" spans="1:5" ht="14.25" customHeight="1" x14ac:dyDescent="0.45">
      <c r="A327" s="17"/>
      <c r="B327" s="36"/>
      <c r="C327" s="37"/>
      <c r="D327" s="37"/>
      <c r="E327" s="39"/>
    </row>
    <row r="328" spans="1:5" ht="14.25" customHeight="1" x14ac:dyDescent="0.45">
      <c r="A328" s="13"/>
      <c r="B328" s="32"/>
      <c r="C328" s="33"/>
      <c r="D328" s="34"/>
      <c r="E328" s="35"/>
    </row>
    <row r="329" spans="1:5" ht="14.25" customHeight="1" x14ac:dyDescent="0.45">
      <c r="A329" s="17"/>
      <c r="B329" s="36"/>
      <c r="C329" s="37"/>
      <c r="D329" s="38"/>
      <c r="E329" s="39"/>
    </row>
    <row r="330" spans="1:5" ht="14.25" customHeight="1" x14ac:dyDescent="0.45">
      <c r="A330" s="13"/>
      <c r="B330" s="32"/>
      <c r="C330" s="33"/>
      <c r="D330" s="33"/>
      <c r="E330" s="35"/>
    </row>
    <row r="331" spans="1:5" ht="14.25" customHeight="1" x14ac:dyDescent="0.45">
      <c r="A331" s="17"/>
      <c r="B331" s="36"/>
      <c r="C331" s="37"/>
      <c r="D331" s="37"/>
      <c r="E331" s="39"/>
    </row>
    <row r="332" spans="1:5" ht="14.25" customHeight="1" x14ac:dyDescent="0.45">
      <c r="A332" s="13"/>
      <c r="B332" s="32"/>
      <c r="C332" s="33"/>
      <c r="D332" s="34"/>
      <c r="E332" s="35"/>
    </row>
    <row r="333" spans="1:5" ht="14.25" customHeight="1" x14ac:dyDescent="0.45">
      <c r="A333" s="17"/>
      <c r="B333" s="36"/>
      <c r="C333" s="37"/>
      <c r="D333" s="38"/>
      <c r="E333" s="39"/>
    </row>
    <row r="334" spans="1:5" ht="14.25" customHeight="1" x14ac:dyDescent="0.45">
      <c r="A334" s="13"/>
      <c r="B334" s="32"/>
      <c r="C334" s="33"/>
      <c r="D334" s="33"/>
      <c r="E334" s="35"/>
    </row>
    <row r="335" spans="1:5" ht="14.25" customHeight="1" x14ac:dyDescent="0.45">
      <c r="A335" s="17"/>
      <c r="B335" s="36"/>
      <c r="C335" s="37"/>
      <c r="D335" s="37"/>
      <c r="E335" s="39"/>
    </row>
    <row r="336" spans="1:5" ht="14.25" customHeight="1" x14ac:dyDescent="0.45">
      <c r="A336" s="13"/>
      <c r="B336" s="32"/>
      <c r="C336" s="33"/>
      <c r="D336" s="34"/>
      <c r="E336" s="35"/>
    </row>
    <row r="337" spans="1:5" ht="14.25" customHeight="1" x14ac:dyDescent="0.45">
      <c r="A337" s="17"/>
      <c r="B337" s="36"/>
      <c r="C337" s="37"/>
      <c r="D337" s="38"/>
      <c r="E337" s="39"/>
    </row>
    <row r="338" spans="1:5" ht="14.25" customHeight="1" x14ac:dyDescent="0.45">
      <c r="A338" s="13"/>
      <c r="B338" s="32"/>
      <c r="C338" s="33"/>
      <c r="D338" s="33"/>
      <c r="E338" s="35"/>
    </row>
    <row r="339" spans="1:5" ht="14.25" customHeight="1" x14ac:dyDescent="0.45">
      <c r="A339" s="17"/>
      <c r="B339" s="36"/>
      <c r="C339" s="37"/>
      <c r="D339" s="37"/>
      <c r="E339" s="39"/>
    </row>
    <row r="340" spans="1:5" ht="14.25" customHeight="1" x14ac:dyDescent="0.45">
      <c r="A340" s="13"/>
      <c r="B340" s="32"/>
      <c r="C340" s="33"/>
      <c r="D340" s="34"/>
      <c r="E340" s="35"/>
    </row>
    <row r="341" spans="1:5" ht="14.25" customHeight="1" x14ac:dyDescent="0.45">
      <c r="A341" s="17"/>
      <c r="B341" s="36"/>
      <c r="C341" s="37"/>
      <c r="D341" s="38"/>
      <c r="E341" s="39"/>
    </row>
    <row r="342" spans="1:5" ht="14.25" customHeight="1" x14ac:dyDescent="0.45">
      <c r="A342" s="13"/>
      <c r="B342" s="32"/>
      <c r="C342" s="33"/>
      <c r="D342" s="33"/>
      <c r="E342" s="35"/>
    </row>
    <row r="343" spans="1:5" ht="14.25" customHeight="1" x14ac:dyDescent="0.45">
      <c r="A343" s="17"/>
      <c r="B343" s="36"/>
      <c r="C343" s="37"/>
      <c r="D343" s="37"/>
      <c r="E343" s="39"/>
    </row>
    <row r="344" spans="1:5" ht="14.25" customHeight="1" x14ac:dyDescent="0.45">
      <c r="A344" s="13"/>
      <c r="B344" s="32"/>
      <c r="C344" s="33"/>
      <c r="D344" s="34"/>
      <c r="E344" s="35"/>
    </row>
    <row r="345" spans="1:5" ht="14.25" customHeight="1" x14ac:dyDescent="0.45">
      <c r="A345" s="17"/>
      <c r="B345" s="36"/>
      <c r="C345" s="37"/>
      <c r="D345" s="38"/>
      <c r="E345" s="39"/>
    </row>
    <row r="346" spans="1:5" ht="14.25" customHeight="1" x14ac:dyDescent="0.45">
      <c r="A346" s="13"/>
      <c r="B346" s="32"/>
      <c r="C346" s="33"/>
      <c r="D346" s="33"/>
      <c r="E346" s="35"/>
    </row>
    <row r="347" spans="1:5" ht="14.25" customHeight="1" x14ac:dyDescent="0.45">
      <c r="A347" s="17"/>
      <c r="B347" s="36"/>
      <c r="C347" s="37"/>
      <c r="D347" s="37"/>
      <c r="E347" s="39"/>
    </row>
    <row r="348" spans="1:5" ht="14.25" customHeight="1" x14ac:dyDescent="0.45">
      <c r="A348" s="13"/>
      <c r="B348" s="32"/>
      <c r="C348" s="33"/>
      <c r="D348" s="34"/>
      <c r="E348" s="35"/>
    </row>
    <row r="349" spans="1:5" ht="14.25" customHeight="1" x14ac:dyDescent="0.45">
      <c r="A349" s="17"/>
      <c r="B349" s="36"/>
      <c r="C349" s="37"/>
      <c r="D349" s="38"/>
      <c r="E349" s="39"/>
    </row>
    <row r="350" spans="1:5" ht="14.25" customHeight="1" x14ac:dyDescent="0.45">
      <c r="A350" s="13"/>
      <c r="B350" s="32"/>
      <c r="C350" s="33"/>
      <c r="D350" s="33"/>
      <c r="E350" s="35"/>
    </row>
    <row r="351" spans="1:5" ht="14.25" customHeight="1" x14ac:dyDescent="0.45">
      <c r="A351" s="17"/>
      <c r="B351" s="36"/>
      <c r="C351" s="37"/>
      <c r="D351" s="37"/>
      <c r="E351" s="39"/>
    </row>
    <row r="352" spans="1:5" ht="14.25" customHeight="1" x14ac:dyDescent="0.45">
      <c r="A352" s="13"/>
      <c r="B352" s="32"/>
      <c r="C352" s="33"/>
      <c r="D352" s="34"/>
      <c r="E352" s="35"/>
    </row>
    <row r="353" spans="1:5" ht="14.25" customHeight="1" x14ac:dyDescent="0.45">
      <c r="A353" s="17"/>
      <c r="B353" s="36"/>
      <c r="C353" s="37"/>
      <c r="D353" s="38"/>
      <c r="E353" s="39"/>
    </row>
    <row r="354" spans="1:5" ht="14.25" customHeight="1" x14ac:dyDescent="0.45">
      <c r="A354" s="13"/>
      <c r="B354" s="32"/>
      <c r="C354" s="33"/>
      <c r="D354" s="33"/>
      <c r="E354" s="35"/>
    </row>
    <row r="355" spans="1:5" ht="14.25" customHeight="1" x14ac:dyDescent="0.45">
      <c r="A355" s="17"/>
      <c r="B355" s="36"/>
      <c r="C355" s="37"/>
      <c r="D355" s="37"/>
      <c r="E355" s="39"/>
    </row>
    <row r="356" spans="1:5" ht="14.25" customHeight="1" x14ac:dyDescent="0.45">
      <c r="A356" s="13"/>
      <c r="B356" s="32"/>
      <c r="C356" s="33"/>
      <c r="D356" s="34"/>
      <c r="E356" s="35"/>
    </row>
    <row r="357" spans="1:5" ht="14.25" customHeight="1" x14ac:dyDescent="0.45">
      <c r="A357" s="17"/>
      <c r="B357" s="36"/>
      <c r="C357" s="37"/>
      <c r="D357" s="38"/>
      <c r="E357" s="39"/>
    </row>
    <row r="358" spans="1:5" ht="14.25" customHeight="1" x14ac:dyDescent="0.45">
      <c r="A358" s="13"/>
      <c r="B358" s="32"/>
      <c r="C358" s="33"/>
      <c r="D358" s="33"/>
      <c r="E358" s="35"/>
    </row>
    <row r="359" spans="1:5" ht="14.25" customHeight="1" x14ac:dyDescent="0.45">
      <c r="A359" s="17"/>
      <c r="B359" s="36"/>
      <c r="C359" s="37"/>
      <c r="D359" s="37"/>
      <c r="E359" s="39"/>
    </row>
    <row r="360" spans="1:5" ht="14.25" customHeight="1" x14ac:dyDescent="0.45">
      <c r="A360" s="13"/>
      <c r="B360" s="32"/>
      <c r="C360" s="33"/>
      <c r="D360" s="34"/>
      <c r="E360" s="35"/>
    </row>
    <row r="361" spans="1:5" ht="14.25" customHeight="1" x14ac:dyDescent="0.45">
      <c r="A361" s="17"/>
      <c r="B361" s="36"/>
      <c r="C361" s="37"/>
      <c r="D361" s="38"/>
      <c r="E361" s="39"/>
    </row>
    <row r="362" spans="1:5" ht="14.25" customHeight="1" x14ac:dyDescent="0.45">
      <c r="A362" s="13"/>
      <c r="B362" s="32"/>
      <c r="C362" s="33"/>
      <c r="D362" s="33"/>
      <c r="E362" s="35"/>
    </row>
    <row r="363" spans="1:5" ht="14.25" customHeight="1" x14ac:dyDescent="0.45">
      <c r="A363" s="17"/>
      <c r="B363" s="36"/>
      <c r="C363" s="37"/>
      <c r="D363" s="37"/>
      <c r="E363" s="39"/>
    </row>
    <row r="364" spans="1:5" ht="14.25" customHeight="1" x14ac:dyDescent="0.45">
      <c r="A364" s="13"/>
      <c r="B364" s="32"/>
      <c r="C364" s="33"/>
      <c r="D364" s="34"/>
      <c r="E364" s="35"/>
    </row>
    <row r="365" spans="1:5" ht="14.25" customHeight="1" x14ac:dyDescent="0.45">
      <c r="A365" s="17"/>
      <c r="B365" s="36"/>
      <c r="C365" s="37"/>
      <c r="D365" s="38"/>
      <c r="E365" s="39"/>
    </row>
    <row r="366" spans="1:5" ht="14.25" customHeight="1" x14ac:dyDescent="0.45">
      <c r="A366" s="13"/>
      <c r="B366" s="32"/>
      <c r="C366" s="33"/>
      <c r="D366" s="33"/>
      <c r="E366" s="35"/>
    </row>
    <row r="367" spans="1:5" ht="14.25" customHeight="1" x14ac:dyDescent="0.45">
      <c r="A367" s="17"/>
      <c r="B367" s="36"/>
      <c r="C367" s="37"/>
      <c r="D367" s="37"/>
      <c r="E367" s="39"/>
    </row>
    <row r="368" spans="1:5" ht="14.25" customHeight="1" x14ac:dyDescent="0.45">
      <c r="A368" s="13"/>
      <c r="B368" s="32"/>
      <c r="C368" s="33"/>
      <c r="D368" s="34"/>
      <c r="E368" s="35"/>
    </row>
    <row r="369" spans="1:5" ht="14.25" customHeight="1" x14ac:dyDescent="0.45">
      <c r="A369" s="17"/>
      <c r="B369" s="36"/>
      <c r="C369" s="37"/>
      <c r="D369" s="38"/>
      <c r="E369" s="39"/>
    </row>
    <row r="370" spans="1:5" ht="14.25" customHeight="1" x14ac:dyDescent="0.45">
      <c r="A370" s="13"/>
      <c r="B370" s="32"/>
      <c r="C370" s="33"/>
      <c r="D370" s="33"/>
      <c r="E370" s="35"/>
    </row>
    <row r="371" spans="1:5" ht="14.25" customHeight="1" x14ac:dyDescent="0.45">
      <c r="A371" s="17"/>
      <c r="B371" s="36"/>
      <c r="C371" s="37"/>
      <c r="D371" s="37"/>
      <c r="E371" s="39"/>
    </row>
    <row r="372" spans="1:5" ht="14.25" customHeight="1" x14ac:dyDescent="0.45">
      <c r="A372" s="13"/>
      <c r="B372" s="32"/>
      <c r="C372" s="33"/>
      <c r="D372" s="34"/>
      <c r="E372" s="35"/>
    </row>
    <row r="373" spans="1:5" ht="14.25" customHeight="1" x14ac:dyDescent="0.45">
      <c r="A373" s="17"/>
      <c r="B373" s="36"/>
      <c r="C373" s="37"/>
      <c r="D373" s="38"/>
      <c r="E373" s="39"/>
    </row>
    <row r="374" spans="1:5" ht="14.25" customHeight="1" x14ac:dyDescent="0.45">
      <c r="A374" s="13"/>
      <c r="B374" s="32"/>
      <c r="C374" s="33"/>
      <c r="D374" s="33"/>
      <c r="E374" s="35"/>
    </row>
    <row r="375" spans="1:5" ht="14.25" customHeight="1" x14ac:dyDescent="0.45">
      <c r="A375" s="17"/>
      <c r="B375" s="36"/>
      <c r="C375" s="37"/>
      <c r="D375" s="37"/>
      <c r="E375" s="39"/>
    </row>
    <row r="376" spans="1:5" ht="14.25" customHeight="1" x14ac:dyDescent="0.45">
      <c r="A376" s="13"/>
      <c r="B376" s="32"/>
      <c r="C376" s="33"/>
      <c r="D376" s="34"/>
      <c r="E376" s="35"/>
    </row>
    <row r="377" spans="1:5" ht="14.25" customHeight="1" x14ac:dyDescent="0.45">
      <c r="A377" s="17"/>
      <c r="B377" s="36"/>
      <c r="C377" s="37"/>
      <c r="D377" s="38"/>
      <c r="E377" s="39"/>
    </row>
    <row r="378" spans="1:5" ht="14.25" customHeight="1" x14ac:dyDescent="0.45">
      <c r="A378" s="13"/>
      <c r="B378" s="32"/>
      <c r="C378" s="33"/>
      <c r="D378" s="33"/>
      <c r="E378" s="35"/>
    </row>
    <row r="379" spans="1:5" ht="14.25" customHeight="1" x14ac:dyDescent="0.45">
      <c r="A379" s="17"/>
      <c r="B379" s="36"/>
      <c r="C379" s="37"/>
      <c r="D379" s="37"/>
      <c r="E379" s="39"/>
    </row>
    <row r="380" spans="1:5" ht="14.25" customHeight="1" x14ac:dyDescent="0.45">
      <c r="A380" s="13"/>
      <c r="B380" s="32"/>
      <c r="C380" s="33"/>
      <c r="D380" s="34"/>
      <c r="E380" s="35"/>
    </row>
    <row r="381" spans="1:5" ht="14.25" customHeight="1" x14ac:dyDescent="0.45">
      <c r="A381" s="17"/>
      <c r="B381" s="36"/>
      <c r="C381" s="37"/>
      <c r="D381" s="38"/>
      <c r="E381" s="39"/>
    </row>
    <row r="382" spans="1:5" ht="14.25" customHeight="1" x14ac:dyDescent="0.45">
      <c r="A382" s="13"/>
      <c r="B382" s="32"/>
      <c r="C382" s="33"/>
      <c r="D382" s="33"/>
      <c r="E382" s="35"/>
    </row>
    <row r="383" spans="1:5" ht="14.25" customHeight="1" x14ac:dyDescent="0.45">
      <c r="A383" s="17"/>
      <c r="B383" s="36"/>
      <c r="C383" s="37"/>
      <c r="D383" s="37"/>
      <c r="E383" s="39"/>
    </row>
    <row r="384" spans="1:5" ht="14.25" customHeight="1" x14ac:dyDescent="0.45">
      <c r="A384" s="13"/>
      <c r="B384" s="32"/>
      <c r="C384" s="33"/>
      <c r="D384" s="34"/>
      <c r="E384" s="35"/>
    </row>
    <row r="385" spans="1:5" ht="14.25" customHeight="1" x14ac:dyDescent="0.45">
      <c r="A385" s="17"/>
      <c r="B385" s="36"/>
      <c r="C385" s="37"/>
      <c r="D385" s="38"/>
      <c r="E385" s="39"/>
    </row>
    <row r="386" spans="1:5" ht="14.25" customHeight="1" x14ac:dyDescent="0.45">
      <c r="A386" s="13"/>
      <c r="B386" s="32"/>
      <c r="C386" s="33"/>
      <c r="D386" s="33"/>
      <c r="E386" s="35"/>
    </row>
    <row r="387" spans="1:5" ht="14.25" customHeight="1" x14ac:dyDescent="0.45">
      <c r="A387" s="17"/>
      <c r="B387" s="36"/>
      <c r="C387" s="37"/>
      <c r="D387" s="37"/>
      <c r="E387" s="39"/>
    </row>
    <row r="388" spans="1:5" ht="14.25" customHeight="1" x14ac:dyDescent="0.45">
      <c r="A388" s="13"/>
      <c r="B388" s="32"/>
      <c r="C388" s="33"/>
      <c r="D388" s="34"/>
      <c r="E388" s="35"/>
    </row>
    <row r="389" spans="1:5" ht="14.25" customHeight="1" x14ac:dyDescent="0.45">
      <c r="A389" s="17"/>
      <c r="B389" s="36"/>
      <c r="C389" s="37"/>
      <c r="D389" s="38"/>
      <c r="E389" s="39"/>
    </row>
    <row r="390" spans="1:5" ht="14.25" customHeight="1" x14ac:dyDescent="0.45">
      <c r="A390" s="13"/>
      <c r="B390" s="32"/>
      <c r="C390" s="33"/>
      <c r="D390" s="33"/>
      <c r="E390" s="35"/>
    </row>
    <row r="391" spans="1:5" ht="14.25" customHeight="1" x14ac:dyDescent="0.45">
      <c r="A391" s="17"/>
      <c r="B391" s="36"/>
      <c r="C391" s="37"/>
      <c r="D391" s="37"/>
      <c r="E391" s="39"/>
    </row>
    <row r="392" spans="1:5" ht="14.25" customHeight="1" x14ac:dyDescent="0.45">
      <c r="A392" s="13"/>
      <c r="B392" s="32"/>
      <c r="C392" s="33"/>
      <c r="D392" s="34"/>
      <c r="E392" s="35"/>
    </row>
    <row r="393" spans="1:5" ht="14.25" customHeight="1" x14ac:dyDescent="0.45">
      <c r="A393" s="17"/>
      <c r="B393" s="36"/>
      <c r="C393" s="37"/>
      <c r="D393" s="38"/>
      <c r="E393" s="39"/>
    </row>
    <row r="394" spans="1:5" ht="14.25" customHeight="1" x14ac:dyDescent="0.45">
      <c r="A394" s="13"/>
      <c r="B394" s="32"/>
      <c r="C394" s="33"/>
      <c r="D394" s="33"/>
      <c r="E394" s="35"/>
    </row>
    <row r="395" spans="1:5" ht="14.25" customHeight="1" x14ac:dyDescent="0.45">
      <c r="A395" s="17"/>
      <c r="B395" s="36"/>
      <c r="C395" s="37"/>
      <c r="D395" s="37"/>
      <c r="E395" s="39"/>
    </row>
    <row r="396" spans="1:5" ht="14.25" customHeight="1" x14ac:dyDescent="0.45">
      <c r="A396" s="13"/>
      <c r="B396" s="32"/>
      <c r="C396" s="33"/>
      <c r="D396" s="34"/>
      <c r="E396" s="35"/>
    </row>
    <row r="397" spans="1:5" ht="14.25" customHeight="1" x14ac:dyDescent="0.45">
      <c r="A397" s="17"/>
      <c r="B397" s="36"/>
      <c r="C397" s="37"/>
      <c r="D397" s="38"/>
      <c r="E397" s="39"/>
    </row>
    <row r="398" spans="1:5" ht="14.25" customHeight="1" x14ac:dyDescent="0.45">
      <c r="A398" s="13"/>
      <c r="B398" s="32"/>
      <c r="C398" s="33"/>
      <c r="D398" s="33"/>
      <c r="E398" s="35"/>
    </row>
    <row r="399" spans="1:5" ht="14.25" customHeight="1" x14ac:dyDescent="0.45">
      <c r="A399" s="17"/>
      <c r="B399" s="36"/>
      <c r="C399" s="37"/>
      <c r="D399" s="37"/>
      <c r="E399" s="39"/>
    </row>
    <row r="400" spans="1:5" ht="14.25" customHeight="1" x14ac:dyDescent="0.45">
      <c r="A400" s="13"/>
      <c r="B400" s="32"/>
      <c r="C400" s="33"/>
      <c r="D400" s="34"/>
      <c r="E400" s="35"/>
    </row>
    <row r="401" spans="1:5" ht="14.25" customHeight="1" x14ac:dyDescent="0.45">
      <c r="A401" s="17"/>
      <c r="B401" s="36"/>
      <c r="C401" s="37"/>
      <c r="D401" s="38"/>
      <c r="E401" s="39"/>
    </row>
    <row r="402" spans="1:5" ht="14.25" customHeight="1" x14ac:dyDescent="0.45">
      <c r="A402" s="13"/>
      <c r="B402" s="32"/>
      <c r="C402" s="33"/>
      <c r="D402" s="33"/>
      <c r="E402" s="35"/>
    </row>
    <row r="403" spans="1:5" ht="14.25" customHeight="1" x14ac:dyDescent="0.45">
      <c r="A403" s="17"/>
      <c r="B403" s="36"/>
      <c r="C403" s="37"/>
      <c r="D403" s="37"/>
      <c r="E403" s="39"/>
    </row>
    <row r="404" spans="1:5" ht="14.25" customHeight="1" x14ac:dyDescent="0.45">
      <c r="A404" s="13"/>
      <c r="B404" s="32"/>
      <c r="C404" s="33"/>
      <c r="D404" s="34"/>
      <c r="E404" s="35"/>
    </row>
    <row r="405" spans="1:5" ht="14.25" customHeight="1" x14ac:dyDescent="0.45">
      <c r="A405" s="17"/>
      <c r="B405" s="36"/>
      <c r="C405" s="37"/>
      <c r="D405" s="38"/>
      <c r="E405" s="39"/>
    </row>
    <row r="406" spans="1:5" ht="14.25" customHeight="1" x14ac:dyDescent="0.45">
      <c r="A406" s="13"/>
      <c r="B406" s="32"/>
      <c r="C406" s="33"/>
      <c r="D406" s="33"/>
      <c r="E406" s="35"/>
    </row>
    <row r="407" spans="1:5" ht="14.25" customHeight="1" x14ac:dyDescent="0.45">
      <c r="A407" s="17"/>
      <c r="B407" s="36"/>
      <c r="C407" s="37"/>
      <c r="D407" s="37"/>
      <c r="E407" s="39"/>
    </row>
    <row r="408" spans="1:5" ht="14.25" customHeight="1" x14ac:dyDescent="0.45">
      <c r="A408" s="13"/>
      <c r="B408" s="32"/>
      <c r="C408" s="33"/>
      <c r="D408" s="34"/>
      <c r="E408" s="35"/>
    </row>
    <row r="409" spans="1:5" ht="14.25" customHeight="1" x14ac:dyDescent="0.45">
      <c r="A409" s="17"/>
      <c r="B409" s="36"/>
      <c r="C409" s="37"/>
      <c r="D409" s="38"/>
      <c r="E409" s="39"/>
    </row>
    <row r="410" spans="1:5" ht="14.25" customHeight="1" x14ac:dyDescent="0.45">
      <c r="A410" s="13"/>
      <c r="B410" s="32"/>
      <c r="C410" s="33"/>
      <c r="D410" s="33"/>
      <c r="E410" s="35"/>
    </row>
    <row r="411" spans="1:5" ht="14.25" customHeight="1" x14ac:dyDescent="0.45">
      <c r="A411" s="17"/>
      <c r="B411" s="36"/>
      <c r="C411" s="37"/>
      <c r="D411" s="37"/>
      <c r="E411" s="39"/>
    </row>
    <row r="412" spans="1:5" ht="14.25" customHeight="1" x14ac:dyDescent="0.45">
      <c r="A412" s="13"/>
      <c r="B412" s="32"/>
      <c r="C412" s="33"/>
      <c r="D412" s="34"/>
      <c r="E412" s="35"/>
    </row>
    <row r="413" spans="1:5" ht="14.25" customHeight="1" x14ac:dyDescent="0.45">
      <c r="A413" s="17"/>
      <c r="B413" s="36"/>
      <c r="C413" s="37"/>
      <c r="D413" s="38"/>
      <c r="E413" s="39"/>
    </row>
    <row r="414" spans="1:5" ht="14.25" customHeight="1" x14ac:dyDescent="0.45">
      <c r="A414" s="13"/>
      <c r="B414" s="32"/>
      <c r="C414" s="33"/>
      <c r="D414" s="33"/>
      <c r="E414" s="35"/>
    </row>
    <row r="415" spans="1:5" ht="14.25" customHeight="1" x14ac:dyDescent="0.45">
      <c r="A415" s="17"/>
      <c r="B415" s="36"/>
      <c r="C415" s="37"/>
      <c r="D415" s="37"/>
      <c r="E415" s="39"/>
    </row>
    <row r="416" spans="1:5" ht="14.25" customHeight="1" x14ac:dyDescent="0.45">
      <c r="A416" s="13"/>
      <c r="B416" s="32"/>
      <c r="C416" s="33"/>
      <c r="D416" s="34"/>
      <c r="E416" s="35"/>
    </row>
    <row r="417" spans="1:5" ht="14.25" customHeight="1" x14ac:dyDescent="0.45">
      <c r="A417" s="17"/>
      <c r="B417" s="36"/>
      <c r="C417" s="37"/>
      <c r="D417" s="38"/>
      <c r="E417" s="39"/>
    </row>
    <row r="418" spans="1:5" ht="14.25" customHeight="1" x14ac:dyDescent="0.45">
      <c r="A418" s="13"/>
      <c r="B418" s="32"/>
      <c r="C418" s="33"/>
      <c r="D418" s="33"/>
      <c r="E418" s="35"/>
    </row>
    <row r="419" spans="1:5" ht="14.25" customHeight="1" x14ac:dyDescent="0.45">
      <c r="A419" s="17"/>
      <c r="B419" s="36"/>
      <c r="C419" s="37"/>
      <c r="D419" s="37"/>
      <c r="E419" s="39"/>
    </row>
    <row r="420" spans="1:5" ht="14.25" customHeight="1" x14ac:dyDescent="0.45">
      <c r="A420" s="13"/>
      <c r="B420" s="32"/>
      <c r="C420" s="33"/>
      <c r="D420" s="34"/>
      <c r="E420" s="35"/>
    </row>
    <row r="421" spans="1:5" ht="14.25" customHeight="1" x14ac:dyDescent="0.45">
      <c r="A421" s="17"/>
      <c r="B421" s="36"/>
      <c r="C421" s="37"/>
      <c r="D421" s="38"/>
      <c r="E421" s="39"/>
    </row>
    <row r="422" spans="1:5" ht="14.25" customHeight="1" x14ac:dyDescent="0.45">
      <c r="A422" s="13"/>
      <c r="B422" s="32"/>
      <c r="C422" s="33"/>
      <c r="D422" s="33"/>
      <c r="E422" s="35"/>
    </row>
    <row r="423" spans="1:5" ht="14.25" customHeight="1" x14ac:dyDescent="0.45">
      <c r="A423" s="17"/>
      <c r="B423" s="36"/>
      <c r="C423" s="37"/>
      <c r="D423" s="37"/>
      <c r="E423" s="39"/>
    </row>
    <row r="424" spans="1:5" ht="14.25" customHeight="1" x14ac:dyDescent="0.45">
      <c r="A424" s="13"/>
      <c r="B424" s="32"/>
      <c r="C424" s="33"/>
      <c r="D424" s="34"/>
      <c r="E424" s="35"/>
    </row>
    <row r="425" spans="1:5" ht="14.25" customHeight="1" x14ac:dyDescent="0.45">
      <c r="A425" s="17"/>
      <c r="B425" s="36"/>
      <c r="C425" s="37"/>
      <c r="D425" s="38"/>
      <c r="E425" s="39"/>
    </row>
    <row r="426" spans="1:5" ht="14.25" customHeight="1" x14ac:dyDescent="0.45">
      <c r="A426" s="13"/>
      <c r="B426" s="32"/>
      <c r="C426" s="33"/>
      <c r="D426" s="33"/>
      <c r="E426" s="35"/>
    </row>
    <row r="427" spans="1:5" ht="14.25" customHeight="1" x14ac:dyDescent="0.45">
      <c r="A427" s="17"/>
      <c r="B427" s="36"/>
      <c r="C427" s="37"/>
      <c r="D427" s="37"/>
      <c r="E427" s="39"/>
    </row>
    <row r="428" spans="1:5" ht="14.25" customHeight="1" x14ac:dyDescent="0.45">
      <c r="A428" s="13"/>
      <c r="B428" s="32"/>
      <c r="C428" s="33"/>
      <c r="D428" s="34"/>
      <c r="E428" s="35"/>
    </row>
    <row r="429" spans="1:5" ht="14.25" customHeight="1" x14ac:dyDescent="0.45">
      <c r="A429" s="17"/>
      <c r="B429" s="36"/>
      <c r="C429" s="37"/>
      <c r="D429" s="38"/>
      <c r="E429" s="39"/>
    </row>
    <row r="430" spans="1:5" ht="14.25" customHeight="1" x14ac:dyDescent="0.45">
      <c r="A430" s="13"/>
      <c r="B430" s="32"/>
      <c r="C430" s="33"/>
      <c r="D430" s="33"/>
      <c r="E430" s="35"/>
    </row>
    <row r="431" spans="1:5" ht="14.25" customHeight="1" x14ac:dyDescent="0.45">
      <c r="A431" s="17"/>
      <c r="B431" s="36"/>
      <c r="C431" s="37"/>
      <c r="D431" s="37"/>
      <c r="E431" s="39"/>
    </row>
    <row r="432" spans="1:5" ht="14.25" customHeight="1" x14ac:dyDescent="0.45">
      <c r="A432" s="13"/>
      <c r="B432" s="32"/>
      <c r="C432" s="33"/>
      <c r="D432" s="34"/>
      <c r="E432" s="35"/>
    </row>
    <row r="433" spans="1:5" ht="14.25" customHeight="1" x14ac:dyDescent="0.45">
      <c r="A433" s="17"/>
      <c r="B433" s="36"/>
      <c r="C433" s="37"/>
      <c r="D433" s="38"/>
      <c r="E433" s="39"/>
    </row>
    <row r="434" spans="1:5" ht="14.25" customHeight="1" x14ac:dyDescent="0.45">
      <c r="A434" s="13"/>
      <c r="B434" s="32"/>
      <c r="C434" s="33"/>
      <c r="D434" s="33"/>
      <c r="E434" s="35"/>
    </row>
    <row r="435" spans="1:5" ht="14.25" customHeight="1" x14ac:dyDescent="0.45">
      <c r="A435" s="17"/>
      <c r="B435" s="36"/>
      <c r="C435" s="37"/>
      <c r="D435" s="37"/>
      <c r="E435" s="39"/>
    </row>
    <row r="436" spans="1:5" ht="14.25" customHeight="1" x14ac:dyDescent="0.45">
      <c r="A436" s="13"/>
      <c r="B436" s="32"/>
      <c r="C436" s="33"/>
      <c r="D436" s="34"/>
      <c r="E436" s="35"/>
    </row>
    <row r="437" spans="1:5" ht="14.25" customHeight="1" x14ac:dyDescent="0.45">
      <c r="A437" s="17"/>
      <c r="B437" s="36"/>
      <c r="C437" s="37"/>
      <c r="D437" s="38"/>
      <c r="E437" s="39"/>
    </row>
    <row r="438" spans="1:5" ht="14.25" customHeight="1" x14ac:dyDescent="0.45">
      <c r="A438" s="19"/>
      <c r="B438" s="40"/>
      <c r="C438" s="41"/>
      <c r="D438" s="42"/>
      <c r="E438" s="23"/>
    </row>
  </sheetData>
  <mergeCells count="8">
    <mergeCell ref="A59:F59"/>
    <mergeCell ref="A57:F57"/>
    <mergeCell ref="A54:F54"/>
    <mergeCell ref="A1:F1"/>
    <mergeCell ref="A58:F58"/>
    <mergeCell ref="A56:F56"/>
    <mergeCell ref="A53:F53"/>
    <mergeCell ref="A55:F55"/>
  </mergeCells>
  <pageMargins left="0.75" right="0.75" top="1" bottom="1" header="0.511811023622047" footer="0.511811023622047"/>
  <pageSetup paperSize="9" orientation="portrait" horizontalDpi="300" verticalDpi="300"/>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1"/>
  <sheetViews>
    <sheetView workbookViewId="0">
      <pane ySplit="4" topLeftCell="A5" activePane="bottomLeft" state="frozen"/>
      <selection pane="bottomLeft"/>
    </sheetView>
  </sheetViews>
  <sheetFormatPr defaultRowHeight="14.25" x14ac:dyDescent="0.45"/>
  <cols>
    <col min="1" max="1" width="15" customWidth="1"/>
    <col min="2" max="2" width="13" customWidth="1"/>
    <col min="3" max="3" width="15" customWidth="1"/>
    <col min="4" max="4" width="19" customWidth="1"/>
    <col min="5" max="5" width="22" customWidth="1"/>
    <col min="6" max="6" width="19" customWidth="1"/>
    <col min="7" max="7" width="20" customWidth="1"/>
  </cols>
  <sheetData>
    <row r="1" spans="1:8" ht="21" x14ac:dyDescent="0.65">
      <c r="A1" s="78" t="s">
        <v>1319</v>
      </c>
      <c r="B1" s="65"/>
      <c r="C1" s="65"/>
      <c r="D1" s="65"/>
      <c r="E1" s="65"/>
      <c r="F1" s="65"/>
      <c r="G1" s="65"/>
      <c r="H1" s="65"/>
    </row>
    <row r="3" spans="1:8" ht="16.899999999999999" x14ac:dyDescent="0.5">
      <c r="A3" s="46" t="s">
        <v>1320</v>
      </c>
    </row>
    <row r="4" spans="1:8" x14ac:dyDescent="0.45">
      <c r="A4" s="59" t="s">
        <v>1321</v>
      </c>
    </row>
    <row r="5" spans="1:8" x14ac:dyDescent="0.45">
      <c r="A5" s="60" t="s">
        <v>58</v>
      </c>
      <c r="B5" s="60" t="s">
        <v>59</v>
      </c>
      <c r="C5" s="60" t="s">
        <v>60</v>
      </c>
      <c r="D5" s="60" t="s">
        <v>61</v>
      </c>
      <c r="E5" s="60" t="s">
        <v>62</v>
      </c>
      <c r="F5" s="60" t="s">
        <v>63</v>
      </c>
      <c r="G5" s="60" t="s">
        <v>66</v>
      </c>
    </row>
    <row r="6" spans="1:8" x14ac:dyDescent="0.45">
      <c r="A6" t="s">
        <v>70</v>
      </c>
      <c r="B6" t="s">
        <v>71</v>
      </c>
      <c r="C6" t="s">
        <v>72</v>
      </c>
      <c r="D6" t="s">
        <v>73</v>
      </c>
      <c r="E6" t="s">
        <v>74</v>
      </c>
      <c r="F6" t="s">
        <v>75</v>
      </c>
      <c r="G6">
        <v>382240</v>
      </c>
    </row>
    <row r="7" spans="1:8" x14ac:dyDescent="0.45">
      <c r="A7" t="s">
        <v>78</v>
      </c>
      <c r="B7" t="s">
        <v>79</v>
      </c>
      <c r="C7" t="s">
        <v>80</v>
      </c>
      <c r="D7" t="s">
        <v>73</v>
      </c>
      <c r="E7" t="s">
        <v>74</v>
      </c>
      <c r="F7" t="s">
        <v>81</v>
      </c>
      <c r="G7">
        <v>287670</v>
      </c>
    </row>
    <row r="8" spans="1:8" x14ac:dyDescent="0.45">
      <c r="A8" t="s">
        <v>84</v>
      </c>
      <c r="B8" t="s">
        <v>85</v>
      </c>
      <c r="C8" t="s">
        <v>72</v>
      </c>
      <c r="D8" t="s">
        <v>73</v>
      </c>
      <c r="E8" t="s">
        <v>74</v>
      </c>
      <c r="F8" t="s">
        <v>86</v>
      </c>
      <c r="G8">
        <v>276570</v>
      </c>
    </row>
    <row r="9" spans="1:8" x14ac:dyDescent="0.45">
      <c r="A9" t="s">
        <v>87</v>
      </c>
      <c r="B9" t="s">
        <v>88</v>
      </c>
      <c r="C9" t="s">
        <v>89</v>
      </c>
      <c r="D9" t="s">
        <v>73</v>
      </c>
      <c r="E9" t="s">
        <v>74</v>
      </c>
      <c r="F9" t="s">
        <v>90</v>
      </c>
      <c r="G9">
        <v>195500</v>
      </c>
    </row>
    <row r="10" spans="1:8" x14ac:dyDescent="0.45">
      <c r="A10" t="s">
        <v>91</v>
      </c>
      <c r="B10" t="s">
        <v>92</v>
      </c>
      <c r="C10" t="s">
        <v>89</v>
      </c>
      <c r="D10" t="s">
        <v>73</v>
      </c>
      <c r="E10" t="s">
        <v>74</v>
      </c>
      <c r="F10" t="s">
        <v>90</v>
      </c>
      <c r="G10">
        <v>184920</v>
      </c>
    </row>
    <row r="13" spans="1:8" ht="16.899999999999999" x14ac:dyDescent="0.5">
      <c r="A13" s="46" t="s">
        <v>1322</v>
      </c>
    </row>
    <row r="14" spans="1:8" x14ac:dyDescent="0.45">
      <c r="A14" t="s">
        <v>1323</v>
      </c>
    </row>
    <row r="15" spans="1:8" x14ac:dyDescent="0.45">
      <c r="A15" t="s">
        <v>1324</v>
      </c>
    </row>
    <row r="16" spans="1:8" x14ac:dyDescent="0.45">
      <c r="A16" s="60" t="s">
        <v>58</v>
      </c>
      <c r="B16" s="60" t="s">
        <v>59</v>
      </c>
      <c r="C16" s="60" t="s">
        <v>60</v>
      </c>
      <c r="D16" s="60" t="s">
        <v>61</v>
      </c>
      <c r="E16" s="60" t="s">
        <v>62</v>
      </c>
      <c r="F16" s="60" t="s">
        <v>63</v>
      </c>
      <c r="G16" s="60" t="s">
        <v>66</v>
      </c>
    </row>
    <row r="17" spans="1:7" x14ac:dyDescent="0.45">
      <c r="A17" t="s">
        <v>424</v>
      </c>
      <c r="B17" t="s">
        <v>298</v>
      </c>
      <c r="C17" t="s">
        <v>96</v>
      </c>
      <c r="D17" t="s">
        <v>73</v>
      </c>
      <c r="E17" t="s">
        <v>211</v>
      </c>
      <c r="F17" t="s">
        <v>131</v>
      </c>
      <c r="G17">
        <v>11850</v>
      </c>
    </row>
    <row r="18" spans="1:7" x14ac:dyDescent="0.45">
      <c r="A18" t="s">
        <v>189</v>
      </c>
      <c r="B18" t="s">
        <v>190</v>
      </c>
      <c r="C18" t="s">
        <v>96</v>
      </c>
      <c r="D18" t="s">
        <v>73</v>
      </c>
      <c r="E18" t="s">
        <v>104</v>
      </c>
      <c r="F18" t="s">
        <v>90</v>
      </c>
      <c r="G18">
        <v>55990</v>
      </c>
    </row>
    <row r="19" spans="1:7" x14ac:dyDescent="0.45">
      <c r="A19" t="s">
        <v>201</v>
      </c>
      <c r="B19" t="s">
        <v>202</v>
      </c>
      <c r="C19" t="s">
        <v>96</v>
      </c>
      <c r="D19" t="s">
        <v>73</v>
      </c>
      <c r="E19" t="s">
        <v>104</v>
      </c>
      <c r="F19" t="s">
        <v>107</v>
      </c>
      <c r="G19">
        <v>54100</v>
      </c>
    </row>
    <row r="20" spans="1:7" x14ac:dyDescent="0.45">
      <c r="A20" t="s">
        <v>233</v>
      </c>
      <c r="B20" t="s">
        <v>234</v>
      </c>
      <c r="C20" t="s">
        <v>96</v>
      </c>
      <c r="D20" t="s">
        <v>73</v>
      </c>
      <c r="E20" t="s">
        <v>101</v>
      </c>
      <c r="F20" t="s">
        <v>81</v>
      </c>
      <c r="G20">
        <v>42640</v>
      </c>
    </row>
    <row r="21" spans="1:7" x14ac:dyDescent="0.45">
      <c r="A21" t="s">
        <v>431</v>
      </c>
      <c r="B21" t="s">
        <v>127</v>
      </c>
      <c r="C21" t="s">
        <v>96</v>
      </c>
      <c r="D21" t="s">
        <v>73</v>
      </c>
      <c r="E21" t="s">
        <v>211</v>
      </c>
      <c r="F21" t="s">
        <v>90</v>
      </c>
      <c r="G21">
        <v>11730</v>
      </c>
    </row>
    <row r="22" spans="1:7" x14ac:dyDescent="0.45">
      <c r="A22" t="s">
        <v>740</v>
      </c>
      <c r="B22" t="s">
        <v>158</v>
      </c>
      <c r="C22" t="s">
        <v>96</v>
      </c>
      <c r="D22" t="s">
        <v>73</v>
      </c>
      <c r="E22" t="s">
        <v>443</v>
      </c>
      <c r="F22" t="s">
        <v>131</v>
      </c>
      <c r="G22">
        <v>3420</v>
      </c>
    </row>
    <row r="23" spans="1:7" x14ac:dyDescent="0.45">
      <c r="A23" t="s">
        <v>722</v>
      </c>
      <c r="B23" t="s">
        <v>416</v>
      </c>
      <c r="C23" t="s">
        <v>96</v>
      </c>
      <c r="D23" t="s">
        <v>73</v>
      </c>
      <c r="E23" t="s">
        <v>443</v>
      </c>
      <c r="F23" t="s">
        <v>117</v>
      </c>
      <c r="G23">
        <v>3580</v>
      </c>
    </row>
    <row r="24" spans="1:7" x14ac:dyDescent="0.45">
      <c r="A24" t="s">
        <v>732</v>
      </c>
      <c r="B24" t="s">
        <v>216</v>
      </c>
      <c r="C24" t="s">
        <v>96</v>
      </c>
      <c r="D24" t="s">
        <v>73</v>
      </c>
      <c r="E24" t="s">
        <v>443</v>
      </c>
      <c r="F24" t="s">
        <v>107</v>
      </c>
      <c r="G24">
        <v>3500</v>
      </c>
    </row>
    <row r="25" spans="1:7" x14ac:dyDescent="0.45">
      <c r="A25" t="s">
        <v>199</v>
      </c>
      <c r="B25" t="s">
        <v>200</v>
      </c>
      <c r="C25" t="s">
        <v>96</v>
      </c>
      <c r="D25" t="s">
        <v>73</v>
      </c>
      <c r="E25" t="s">
        <v>104</v>
      </c>
      <c r="F25" t="s">
        <v>131</v>
      </c>
      <c r="G25">
        <v>54230</v>
      </c>
    </row>
    <row r="26" spans="1:7" x14ac:dyDescent="0.45">
      <c r="A26" t="s">
        <v>228</v>
      </c>
      <c r="B26" t="s">
        <v>229</v>
      </c>
      <c r="C26" t="s">
        <v>96</v>
      </c>
      <c r="D26" t="s">
        <v>73</v>
      </c>
      <c r="E26" t="s">
        <v>101</v>
      </c>
      <c r="F26" t="s">
        <v>117</v>
      </c>
      <c r="G26">
        <v>43000</v>
      </c>
    </row>
    <row r="27" spans="1:7" x14ac:dyDescent="0.45">
      <c r="A27" t="s">
        <v>161</v>
      </c>
      <c r="B27" t="s">
        <v>162</v>
      </c>
      <c r="C27" t="s">
        <v>96</v>
      </c>
      <c r="D27" t="s">
        <v>73</v>
      </c>
      <c r="E27" t="s">
        <v>74</v>
      </c>
      <c r="F27" t="s">
        <v>81</v>
      </c>
      <c r="G27">
        <v>91980</v>
      </c>
    </row>
    <row r="28" spans="1:7" x14ac:dyDescent="0.45">
      <c r="A28" t="s">
        <v>178</v>
      </c>
      <c r="B28" t="s">
        <v>179</v>
      </c>
      <c r="C28" t="s">
        <v>96</v>
      </c>
      <c r="D28" t="s">
        <v>73</v>
      </c>
      <c r="E28" t="s">
        <v>101</v>
      </c>
      <c r="F28" t="s">
        <v>90</v>
      </c>
      <c r="G28">
        <v>81900</v>
      </c>
    </row>
    <row r="29" spans="1:7" x14ac:dyDescent="0.45">
      <c r="A29" t="s">
        <v>423</v>
      </c>
      <c r="B29" t="s">
        <v>162</v>
      </c>
      <c r="C29" t="s">
        <v>96</v>
      </c>
      <c r="D29" t="s">
        <v>73</v>
      </c>
      <c r="E29" t="s">
        <v>211</v>
      </c>
      <c r="F29" t="s">
        <v>107</v>
      </c>
      <c r="G29">
        <v>11980</v>
      </c>
    </row>
    <row r="30" spans="1:7" x14ac:dyDescent="0.45">
      <c r="A30" t="s">
        <v>738</v>
      </c>
      <c r="B30" t="s">
        <v>571</v>
      </c>
      <c r="C30" t="s">
        <v>96</v>
      </c>
      <c r="D30" t="s">
        <v>73</v>
      </c>
      <c r="E30" t="s">
        <v>443</v>
      </c>
      <c r="F30" t="s">
        <v>97</v>
      </c>
      <c r="G30">
        <v>3470</v>
      </c>
    </row>
    <row r="31" spans="1:7" x14ac:dyDescent="0.45">
      <c r="A31" t="s">
        <v>487</v>
      </c>
      <c r="B31" t="s">
        <v>365</v>
      </c>
      <c r="C31" t="s">
        <v>96</v>
      </c>
      <c r="D31" t="s">
        <v>73</v>
      </c>
      <c r="E31" t="s">
        <v>443</v>
      </c>
      <c r="F31" t="s">
        <v>140</v>
      </c>
      <c r="G31">
        <v>6760</v>
      </c>
    </row>
  </sheetData>
  <mergeCells count="1">
    <mergeCell ref="A1:H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 working</vt:lpstr>
      <vt:lpstr>Instructions</vt:lpstr>
      <vt:lpstr>Sales Data</vt:lpstr>
      <vt:lpstr>Tasks &amp; Questions</vt:lpstr>
      <vt:lpstr>Pivot Table Workspace</vt:lpstr>
      <vt:lpstr>Sorting &amp; Filtering 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vaniza kiran</cp:lastModifiedBy>
  <cp:revision>0</cp:revision>
  <dcterms:created xsi:type="dcterms:W3CDTF">2026-09-22T15:11:17Z</dcterms:created>
  <dcterms:modified xsi:type="dcterms:W3CDTF">2026-09-25T14:45:56Z</dcterms:modified>
  <dc:language>en-US</dc:language>
</cp:coreProperties>
</file>